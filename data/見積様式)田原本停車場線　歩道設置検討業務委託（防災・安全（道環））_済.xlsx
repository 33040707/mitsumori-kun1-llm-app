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omments2.xml" ContentType="application/vnd.openxmlformats-officedocument.spreadsheetml.comments+xml"/>
  <Override PartName="/xl/drawings/drawing2.xml" ContentType="application/vnd.openxmlformats-officedocument.drawing+xml"/>
  <Override PartName="/xl/comments3.xml" ContentType="application/vnd.openxmlformats-officedocument.spreadsheetml.comments+xml"/>
  <Override PartName="/xl/drawings/drawing3.xml" ContentType="application/vnd.openxmlformats-officedocument.drawing+xml"/>
  <Override PartName="/xl/comments4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/>
  <mc:AlternateContent xmlns:mc="http://schemas.openxmlformats.org/markup-compatibility/2006">
    <mc:Choice Requires="x15">
      <x15ac:absPath xmlns:x15ac="http://schemas.microsoft.com/office/spreadsheetml/2010/11/ac" url="C:\Users\E54344\Desktop\個人作業用\11見積\250707_中和土木_歩道設置\"/>
    </mc:Choice>
  </mc:AlternateContent>
  <xr:revisionPtr revIDLastSave="0" documentId="13_ncr:1_{D9B6754D-7ACD-45BC-89A0-FA332DDF390B}" xr6:coauthVersionLast="47" xr6:coauthVersionMax="47" xr10:uidLastSave="{00000000-0000-0000-0000-000000000000}"/>
  <bookViews>
    <workbookView xWindow="-28920" yWindow="-2250" windowWidth="29040" windowHeight="15720" activeTab="1" xr2:uid="{00000000-000D-0000-FFFF-FFFF00000000}"/>
  </bookViews>
  <sheets>
    <sheet name="見積表紙" sheetId="1" r:id="rId1"/>
    <sheet name="内訳書" sheetId="3" r:id="rId2"/>
    <sheet name="直接人件費" sheetId="4" r:id="rId3"/>
    <sheet name="直接経費内訳" sheetId="5" r:id="rId4"/>
    <sheet name="単価" sheetId="2" r:id="rId5"/>
  </sheets>
  <definedNames>
    <definedName name="_xlnm.Print_Area" localSheetId="0">見積表紙!$A$2:$E$25</definedName>
    <definedName name="_xlnm.Print_Area" localSheetId="3">直接経費内訳!$B$3:$H$27</definedName>
    <definedName name="_xlnm.Print_Area" localSheetId="2">直接人件費!$B$2:$R$32</definedName>
    <definedName name="_xlnm.Print_Area" localSheetId="1">内訳書!$B$2:$H$26</definedName>
    <definedName name="印刷" localSheetId="0">見積表紙!#REF!</definedName>
    <definedName name="印刷" localSheetId="4">#REF!</definedName>
    <definedName name="印刷" localSheetId="3">#REF!</definedName>
    <definedName name="印刷" localSheetId="2">直接人件費!#REF!</definedName>
    <definedName name="印刷" localSheetId="1">内訳書!#REF!</definedName>
    <definedName name="印刷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0" i="1" l="1"/>
  <c r="D10" i="1"/>
  <c r="D9" i="1"/>
  <c r="D7" i="1"/>
  <c r="H21" i="3"/>
  <c r="U35" i="2" l="1"/>
  <c r="T35" i="2"/>
  <c r="S35" i="2"/>
  <c r="R35" i="2"/>
  <c r="Q35" i="2"/>
  <c r="P35" i="2"/>
  <c r="O35" i="2"/>
  <c r="N35" i="2"/>
  <c r="M35" i="2"/>
  <c r="L35" i="2"/>
  <c r="K35" i="2"/>
  <c r="J35" i="2"/>
  <c r="U34" i="2"/>
  <c r="T34" i="2"/>
  <c r="S34" i="2"/>
  <c r="R34" i="2"/>
  <c r="Q34" i="2"/>
  <c r="P34" i="2"/>
  <c r="O34" i="2"/>
  <c r="N34" i="2"/>
  <c r="M34" i="2"/>
  <c r="L34" i="2"/>
  <c r="K34" i="2"/>
  <c r="J34" i="2"/>
  <c r="U33" i="2"/>
  <c r="T33" i="2"/>
  <c r="S33" i="2"/>
  <c r="R33" i="2"/>
  <c r="Q33" i="2"/>
  <c r="P33" i="2"/>
  <c r="O33" i="2"/>
  <c r="N33" i="2"/>
  <c r="M33" i="2"/>
  <c r="L33" i="2"/>
  <c r="K33" i="2"/>
  <c r="J33" i="2"/>
  <c r="U32" i="2"/>
  <c r="T32" i="2"/>
  <c r="S32" i="2"/>
  <c r="R32" i="2"/>
  <c r="Q32" i="2"/>
  <c r="P32" i="2"/>
  <c r="O32" i="2"/>
  <c r="N32" i="2"/>
  <c r="M32" i="2"/>
  <c r="L32" i="2"/>
  <c r="K32" i="2"/>
  <c r="J32" i="2"/>
  <c r="S31" i="2"/>
  <c r="R31" i="2"/>
  <c r="Q31" i="2"/>
  <c r="P31" i="2"/>
  <c r="O31" i="2"/>
  <c r="N31" i="2"/>
  <c r="M31" i="2"/>
  <c r="L31" i="2"/>
  <c r="K31" i="2"/>
  <c r="J31" i="2"/>
  <c r="S30" i="2"/>
  <c r="R30" i="2"/>
  <c r="Q30" i="2"/>
  <c r="P30" i="2"/>
  <c r="O30" i="2"/>
  <c r="N30" i="2"/>
  <c r="M30" i="2"/>
  <c r="L30" i="2"/>
  <c r="K30" i="2"/>
  <c r="J30" i="2"/>
  <c r="U29" i="2"/>
  <c r="T29" i="2"/>
  <c r="S29" i="2"/>
  <c r="R29" i="2"/>
  <c r="Q29" i="2"/>
  <c r="P29" i="2"/>
  <c r="O29" i="2"/>
  <c r="N29" i="2"/>
  <c r="M29" i="2"/>
  <c r="L29" i="2"/>
  <c r="K29" i="2"/>
  <c r="J29" i="2"/>
  <c r="S28" i="2"/>
  <c r="R28" i="2"/>
  <c r="Q28" i="2"/>
  <c r="P28" i="2"/>
  <c r="O28" i="2"/>
  <c r="N28" i="2"/>
  <c r="M28" i="2"/>
  <c r="L28" i="2"/>
  <c r="K28" i="2"/>
  <c r="J28" i="2"/>
  <c r="U27" i="2"/>
  <c r="T27" i="2"/>
  <c r="S27" i="2"/>
  <c r="R27" i="2"/>
  <c r="Q27" i="2"/>
  <c r="P27" i="2"/>
  <c r="O27" i="2"/>
  <c r="N27" i="2"/>
  <c r="M27" i="2"/>
  <c r="L27" i="2"/>
  <c r="K27" i="2"/>
  <c r="J27" i="2"/>
  <c r="U26" i="2"/>
  <c r="T26" i="2"/>
  <c r="S26" i="2"/>
  <c r="R26" i="2"/>
  <c r="Q26" i="2"/>
  <c r="P26" i="2"/>
  <c r="O26" i="2"/>
  <c r="N26" i="2"/>
  <c r="M26" i="2"/>
  <c r="L26" i="2"/>
  <c r="K26" i="2"/>
  <c r="J26" i="2"/>
  <c r="U25" i="2"/>
  <c r="T25" i="2"/>
  <c r="S25" i="2"/>
  <c r="R25" i="2"/>
  <c r="Q25" i="2"/>
  <c r="P25" i="2"/>
  <c r="O25" i="2"/>
  <c r="N25" i="2"/>
  <c r="M25" i="2"/>
  <c r="L25" i="2"/>
  <c r="K25" i="2"/>
  <c r="J25" i="2"/>
  <c r="I9" i="2"/>
  <c r="H9" i="2"/>
  <c r="G9" i="2"/>
  <c r="F9" i="2"/>
  <c r="E25" i="1" l="1"/>
  <c r="G26" i="5" l="1"/>
  <c r="A5" i="1" l="1"/>
  <c r="A4" i="1"/>
  <c r="B22" i="3" l="1"/>
  <c r="B20" i="3"/>
  <c r="B14" i="3"/>
  <c r="B5" i="3"/>
  <c r="E3" i="1" l="1"/>
  <c r="E26" i="1"/>
  <c r="E27" i="1"/>
  <c r="G1" i="3"/>
  <c r="I5" i="4" s="1"/>
  <c r="H20" i="3"/>
  <c r="B21" i="3"/>
  <c r="C22" i="3"/>
  <c r="H22" i="3"/>
  <c r="E21" i="3" s="1"/>
  <c r="G28" i="3"/>
  <c r="M29" i="4"/>
  <c r="M30" i="4" s="1"/>
  <c r="L29" i="4"/>
  <c r="K29" i="4"/>
  <c r="J29" i="4"/>
  <c r="I29" i="4"/>
  <c r="H29" i="4"/>
  <c r="G29" i="4"/>
  <c r="F29" i="4"/>
  <c r="E29" i="4"/>
  <c r="P28" i="4"/>
  <c r="N28" i="4"/>
  <c r="P27" i="4"/>
  <c r="N27" i="4"/>
  <c r="P26" i="4"/>
  <c r="N26" i="4"/>
  <c r="P25" i="4"/>
  <c r="N25" i="4"/>
  <c r="P24" i="4"/>
  <c r="N24" i="4"/>
  <c r="P23" i="4"/>
  <c r="N23" i="4"/>
  <c r="P22" i="4"/>
  <c r="N22" i="4"/>
  <c r="P21" i="4"/>
  <c r="N21" i="4"/>
  <c r="P20" i="4"/>
  <c r="N20" i="4"/>
  <c r="P19" i="4"/>
  <c r="N19" i="4"/>
  <c r="P18" i="4"/>
  <c r="N18" i="4"/>
  <c r="P17" i="4"/>
  <c r="N17" i="4"/>
  <c r="P16" i="4"/>
  <c r="N16" i="4"/>
  <c r="P15" i="4"/>
  <c r="N15" i="4"/>
  <c r="P14" i="4"/>
  <c r="N14" i="4"/>
  <c r="P13" i="4"/>
  <c r="N13" i="4"/>
  <c r="P12" i="4"/>
  <c r="N12" i="4"/>
  <c r="P11" i="4"/>
  <c r="N11" i="4"/>
  <c r="P10" i="4"/>
  <c r="N10" i="4"/>
  <c r="P9" i="4"/>
  <c r="N9" i="4"/>
  <c r="P8" i="4"/>
  <c r="N8" i="4"/>
  <c r="P7" i="4"/>
  <c r="N7" i="4"/>
  <c r="P6" i="4"/>
  <c r="N6" i="4"/>
  <c r="L4" i="4"/>
  <c r="K4" i="4"/>
  <c r="J4" i="4"/>
  <c r="I4" i="4"/>
  <c r="H4" i="4"/>
  <c r="G4" i="4"/>
  <c r="F4" i="4"/>
  <c r="E4" i="4"/>
  <c r="B2" i="4"/>
  <c r="N29" i="4" l="1"/>
  <c r="B2" i="3"/>
  <c r="B3" i="5"/>
  <c r="D22" i="3"/>
  <c r="D21" i="3"/>
  <c r="I30" i="4"/>
  <c r="P29" i="4"/>
  <c r="E22" i="3"/>
  <c r="E20" i="3"/>
  <c r="D20" i="3"/>
  <c r="F5" i="4"/>
  <c r="F30" i="4" s="1"/>
  <c r="J5" i="4"/>
  <c r="J30" i="4" s="1"/>
  <c r="G5" i="4"/>
  <c r="G30" i="4" s="1"/>
  <c r="K5" i="4"/>
  <c r="K30" i="4" s="1"/>
  <c r="H5" i="4"/>
  <c r="H30" i="4" s="1"/>
  <c r="L5" i="4"/>
  <c r="E5" i="4"/>
  <c r="Q25" i="4" l="1"/>
  <c r="Q17" i="4"/>
  <c r="Q8" i="4"/>
  <c r="Q7" i="4"/>
  <c r="Q28" i="4"/>
  <c r="Q21" i="4"/>
  <c r="Q16" i="4"/>
  <c r="Q13" i="4"/>
  <c r="Q12" i="4"/>
  <c r="Q11" i="4"/>
  <c r="Q10" i="4"/>
  <c r="Q6" i="4"/>
  <c r="L30" i="4"/>
  <c r="Q27" i="4"/>
  <c r="Q24" i="4"/>
  <c r="Q20" i="4"/>
  <c r="Q15" i="4"/>
  <c r="Q26" i="4"/>
  <c r="Q23" i="4"/>
  <c r="Q22" i="4"/>
  <c r="Q19" i="4"/>
  <c r="Q18" i="4"/>
  <c r="Q14" i="4"/>
  <c r="Q9" i="4"/>
  <c r="O27" i="4"/>
  <c r="O24" i="4"/>
  <c r="O20" i="4"/>
  <c r="O15" i="4"/>
  <c r="E30" i="4"/>
  <c r="O30" i="4" s="1"/>
  <c r="O26" i="4"/>
  <c r="O23" i="4"/>
  <c r="O22" i="4"/>
  <c r="O19" i="4"/>
  <c r="O18" i="4"/>
  <c r="O14" i="4"/>
  <c r="O9" i="4"/>
  <c r="O25" i="4"/>
  <c r="O17" i="4"/>
  <c r="O8" i="4"/>
  <c r="O7" i="4"/>
  <c r="O28" i="4"/>
  <c r="O21" i="4"/>
  <c r="O16" i="4"/>
  <c r="O13" i="4"/>
  <c r="O12" i="4"/>
  <c r="O11" i="4"/>
  <c r="O10" i="4"/>
  <c r="O6" i="4"/>
  <c r="O29" i="4" l="1"/>
  <c r="G5" i="3" s="1"/>
  <c r="G31" i="3" s="1"/>
  <c r="Q29" i="4"/>
  <c r="G34" i="3" l="1"/>
  <c r="G33" i="3"/>
  <c r="G15" i="3" s="1"/>
  <c r="G32" i="3"/>
  <c r="G20" i="3"/>
  <c r="G29" i="3"/>
  <c r="G16" i="3" s="1"/>
  <c r="G30" i="3"/>
  <c r="G14" i="3" l="1"/>
  <c r="G21" i="3" s="1"/>
  <c r="G22" i="3" l="1"/>
  <c r="G24" i="3" s="1"/>
  <c r="G25" i="3" s="1"/>
  <c r="C3" i="3" s="1"/>
  <c r="C16" i="1" s="1"/>
  <c r="C17" i="1" s="1"/>
  <c r="C18" i="1" s="1"/>
  <c r="C15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大塚 満</author>
    <author>izumiichi</author>
  </authors>
  <commentList>
    <comment ref="A1" authorId="0" shapeId="0" xr:uid="{00000000-0006-0000-0000-000001000000}">
      <text>
        <r>
          <rPr>
            <b/>
            <sz val="9"/>
            <color indexed="81"/>
            <rFont val="ＭＳ Ｐゴシック"/>
            <family val="3"/>
            <charset val="128"/>
          </rPr>
          <t>見積整理番号の記入
例）
　大大52010
　大兵52020
（不明の場合、空白でよい）</t>
        </r>
      </text>
    </comment>
    <comment ref="C1" authorId="0" shapeId="0" xr:uid="{00000000-0006-0000-0000-000002000000}">
      <text>
        <r>
          <rPr>
            <b/>
            <sz val="9"/>
            <color indexed="81"/>
            <rFont val="ＭＳ Ｐゴシック"/>
            <family val="3"/>
            <charset val="128"/>
          </rPr>
          <t>見積提出先の記入
例）
　兵）阪神北県民局、
　奈）郡山土木事務所、
　大）西大阪治水事務所</t>
        </r>
      </text>
    </comment>
    <comment ref="D1" authorId="0" shapeId="0" xr:uid="{00000000-0006-0000-0000-000003000000}">
      <text>
        <r>
          <rPr>
            <b/>
            <sz val="9"/>
            <color indexed="81"/>
            <rFont val="ＭＳ Ｐゴシック"/>
            <family val="3"/>
            <charset val="128"/>
          </rPr>
          <t>見積期限の記入
例）</t>
        </r>
        <r>
          <rPr>
            <sz val="9"/>
            <color indexed="81"/>
            <rFont val="ＭＳ Ｐゴシック"/>
            <family val="3"/>
            <charset val="128"/>
          </rPr>
          <t>　</t>
        </r>
        <r>
          <rPr>
            <b/>
            <sz val="9"/>
            <color indexed="81"/>
            <rFont val="ＭＳ Ｐゴシック"/>
            <family val="3"/>
            <charset val="128"/>
          </rPr>
          <t>14/2/10
※客先提出期限を記入。提出日を変更する場合は「A34セル」で調整。
または、E1セルの日付を直接変更。</t>
        </r>
      </text>
    </comment>
    <comment ref="A21" authorId="0" shapeId="0" xr:uid="{00000000-0006-0000-0000-000004000000}">
      <text>
        <r>
          <rPr>
            <b/>
            <sz val="12"/>
            <color indexed="81"/>
            <rFont val="ＭＳ Ｐゴシック"/>
            <family val="3"/>
            <charset val="128"/>
          </rPr>
          <t>「編集」モードで、「但し、」の後に業務名を記入する。</t>
        </r>
        <r>
          <rPr>
            <sz val="9"/>
            <color indexed="81"/>
            <rFont val="ＭＳ Ｐゴシック"/>
            <family val="3"/>
            <charset val="128"/>
          </rPr>
          <t xml:space="preserve">
</t>
        </r>
      </text>
    </comment>
    <comment ref="B23" authorId="1" shapeId="0" xr:uid="{00000000-0006-0000-0000-000005000000}">
      <text>
        <r>
          <rPr>
            <sz val="9"/>
            <color indexed="81"/>
            <rFont val="ＭＳ Ｐゴシック"/>
            <family val="3"/>
            <charset val="128"/>
          </rPr>
          <t>見積条件を記入する場合は、左の枠内に記載。</t>
        </r>
      </text>
    </comment>
    <comment ref="E28" authorId="0" shapeId="0" xr:uid="{00000000-0006-0000-0000-000006000000}">
      <text>
        <r>
          <rPr>
            <b/>
            <sz val="9"/>
            <color indexed="10"/>
            <rFont val="ＭＳ Ｐゴシック"/>
            <family val="3"/>
            <charset val="128"/>
          </rPr>
          <t>有効期限日の調整</t>
        </r>
      </text>
    </comment>
    <comment ref="A33" authorId="0" shapeId="0" xr:uid="{00000000-0006-0000-0000-000007000000}">
      <text>
        <r>
          <rPr>
            <b/>
            <sz val="9"/>
            <color indexed="81"/>
            <rFont val="ＭＳ Ｐゴシック"/>
            <family val="3"/>
            <charset val="128"/>
          </rPr>
          <t>提出日の調整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otsuka</author>
  </authors>
  <commentList>
    <comment ref="B1" authorId="0" shapeId="0" xr:uid="{00000000-0006-0000-0100-000001000000}">
      <text>
        <r>
          <rPr>
            <b/>
            <sz val="9"/>
            <color indexed="10"/>
            <rFont val="ＭＳ Ｐゴシック"/>
            <family val="3"/>
            <charset val="128"/>
          </rPr>
          <t>otsuka:</t>
        </r>
        <r>
          <rPr>
            <sz val="9"/>
            <color indexed="10"/>
            <rFont val="ＭＳ Ｐゴシック"/>
            <family val="3"/>
            <charset val="128"/>
          </rPr>
          <t xml:space="preserve">
</t>
        </r>
        <r>
          <rPr>
            <sz val="12"/>
            <color indexed="10"/>
            <rFont val="ＭＳ Ｐゴシック"/>
            <family val="3"/>
            <charset val="128"/>
          </rPr>
          <t>新積算の場合は｢</t>
        </r>
        <r>
          <rPr>
            <b/>
            <sz val="12"/>
            <color indexed="10"/>
            <rFont val="ＭＳ Ｐゴシック"/>
            <family val="3"/>
            <charset val="128"/>
          </rPr>
          <t>新</t>
        </r>
        <r>
          <rPr>
            <sz val="12"/>
            <color indexed="10"/>
            <rFont val="ＭＳ Ｐゴシック"/>
            <family val="3"/>
            <charset val="128"/>
          </rPr>
          <t>｣を入力</t>
        </r>
      </text>
    </comment>
    <comment ref="G1" authorId="0" shapeId="0" xr:uid="{00000000-0006-0000-0100-000002000000}">
      <text>
        <r>
          <rPr>
            <b/>
            <sz val="9"/>
            <color indexed="81"/>
            <rFont val="ＭＳ Ｐゴシック"/>
            <family val="3"/>
            <charset val="128"/>
          </rPr>
          <t>単価年度を記入
白文字で</t>
        </r>
        <r>
          <rPr>
            <b/>
            <sz val="9"/>
            <color indexed="10"/>
            <rFont val="ＭＳ Ｐゴシック"/>
            <family val="3"/>
            <charset val="128"/>
          </rPr>
          <t>表示しない｡</t>
        </r>
      </text>
    </comment>
    <comment ref="H22" authorId="0" shapeId="0" xr:uid="{00000000-0006-0000-0100-000003000000}">
      <text>
        <r>
          <rPr>
            <b/>
            <sz val="9"/>
            <color indexed="81"/>
            <rFont val="ＭＳ Ｐゴシック"/>
            <family val="3"/>
            <charset val="128"/>
          </rPr>
          <t>otsuka:</t>
        </r>
        <r>
          <rPr>
            <sz val="9"/>
            <color indexed="81"/>
            <rFont val="ＭＳ Ｐゴシック"/>
            <family val="3"/>
            <charset val="128"/>
          </rPr>
          <t xml:space="preserve">
</t>
        </r>
        <r>
          <rPr>
            <sz val="9"/>
            <color indexed="10"/>
            <rFont val="ＭＳ Ｐゴシック"/>
            <family val="3"/>
            <charset val="128"/>
          </rPr>
          <t>測量諸経費を用いる場合は0を入力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otsuka</author>
  </authors>
  <commentList>
    <comment ref="O3" authorId="0" shapeId="0" xr:uid="{00000000-0006-0000-0200-000001000000}">
      <text>
        <r>
          <rPr>
            <b/>
            <sz val="9"/>
            <color indexed="81"/>
            <rFont val="ＭＳ Ｐゴシック"/>
            <family val="3"/>
            <charset val="128"/>
          </rPr>
          <t>otsuka:</t>
        </r>
        <r>
          <rPr>
            <sz val="9"/>
            <color indexed="81"/>
            <rFont val="ＭＳ Ｐゴシック"/>
            <family val="3"/>
            <charset val="128"/>
          </rPr>
          <t xml:space="preserve">
</t>
        </r>
        <r>
          <rPr>
            <sz val="9"/>
            <color indexed="10"/>
            <rFont val="ＭＳ Ｐゴシック"/>
            <family val="3"/>
            <charset val="128"/>
          </rPr>
          <t>設計</t>
        </r>
        <r>
          <rPr>
            <sz val="9"/>
            <color indexed="81"/>
            <rFont val="ＭＳ Ｐゴシック"/>
            <family val="3"/>
            <charset val="128"/>
          </rPr>
          <t>、</t>
        </r>
        <r>
          <rPr>
            <sz val="9"/>
            <color indexed="10"/>
            <rFont val="ＭＳ Ｐゴシック"/>
            <family val="3"/>
            <charset val="128"/>
          </rPr>
          <t>測量</t>
        </r>
        <r>
          <rPr>
            <sz val="9"/>
            <color indexed="81"/>
            <rFont val="ＭＳ Ｐゴシック"/>
            <family val="3"/>
            <charset val="128"/>
          </rPr>
          <t>、</t>
        </r>
        <r>
          <rPr>
            <sz val="9"/>
            <color indexed="10"/>
            <rFont val="ＭＳ Ｐゴシック"/>
            <family val="3"/>
            <charset val="128"/>
          </rPr>
          <t>調査</t>
        </r>
        <r>
          <rPr>
            <sz val="9"/>
            <color indexed="81"/>
            <rFont val="ＭＳ Ｐゴシック"/>
            <family val="3"/>
            <charset val="128"/>
          </rPr>
          <t>を入力することで、人工種別と単価が変わります。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otsuka</author>
  </authors>
  <commentList>
    <comment ref="H24" authorId="0" shapeId="0" xr:uid="{00000000-0006-0000-0300-000001000000}">
      <text>
        <r>
          <rPr>
            <b/>
            <sz val="9"/>
            <color indexed="81"/>
            <rFont val="ＭＳ Ｐゴシック"/>
            <family val="3"/>
            <charset val="128"/>
          </rPr>
          <t>otsuka:</t>
        </r>
        <r>
          <rPr>
            <sz val="9"/>
            <color indexed="81"/>
            <rFont val="ＭＳ Ｐゴシック"/>
            <family val="3"/>
            <charset val="128"/>
          </rPr>
          <t xml:space="preserve">
</t>
        </r>
        <r>
          <rPr>
            <sz val="9"/>
            <color indexed="10"/>
            <rFont val="ＭＳ Ｐゴシック"/>
            <family val="3"/>
            <charset val="128"/>
          </rPr>
          <t>測量諸経費を用いる場合は0を入力</t>
        </r>
      </text>
    </comment>
  </commentList>
</comments>
</file>

<file path=xl/sharedStrings.xml><?xml version="1.0" encoding="utf-8"?>
<sst xmlns="http://schemas.openxmlformats.org/spreadsheetml/2006/main" count="509" uniqueCount="208">
  <si>
    <t>金</t>
  </si>
  <si>
    <t xml:space="preserve"> 円也</t>
  </si>
  <si>
    <t>名      称</t>
  </si>
  <si>
    <t>仕      様</t>
  </si>
  <si>
    <t>単位</t>
  </si>
  <si>
    <t>数  量</t>
  </si>
  <si>
    <t>単   価</t>
  </si>
  <si>
    <t>金   額</t>
  </si>
  <si>
    <t>摘   要</t>
  </si>
  <si>
    <t xml:space="preserve">   項    目</t>
  </si>
  <si>
    <t>合     計</t>
  </si>
  <si>
    <t>合 計</t>
  </si>
  <si>
    <t>上記のとおり御見積申し上げます。</t>
  </si>
  <si>
    <t>式</t>
    <rPh sb="0" eb="1">
      <t>シキ</t>
    </rPh>
    <phoneticPr fontId="3"/>
  </si>
  <si>
    <t>改め</t>
    <rPh sb="0" eb="1">
      <t>アラタ</t>
    </rPh>
    <phoneticPr fontId="3"/>
  </si>
  <si>
    <t>八千代エンジニヤリング株式会社</t>
    <rPh sb="0" eb="3">
      <t>ヤチヨ</t>
    </rPh>
    <rPh sb="11" eb="15">
      <t>カブシキガイシャ</t>
    </rPh>
    <phoneticPr fontId="3"/>
  </si>
  <si>
    <t>区分</t>
    <rPh sb="0" eb="2">
      <t>クブン</t>
    </rPh>
    <phoneticPr fontId="3"/>
  </si>
  <si>
    <t>御見積書</t>
    <rPh sb="0" eb="4">
      <t>オミツモリショ</t>
    </rPh>
    <phoneticPr fontId="3"/>
  </si>
  <si>
    <t>八千代エンジニヤリング株式会社</t>
  </si>
  <si>
    <t>単価：</t>
    <rPh sb="0" eb="2">
      <t>タンカ</t>
    </rPh>
    <phoneticPr fontId="3"/>
  </si>
  <si>
    <t>設計</t>
    <rPh sb="0" eb="2">
      <t>セッケイ</t>
    </rPh>
    <phoneticPr fontId="3"/>
  </si>
  <si>
    <t>測量</t>
    <rPh sb="0" eb="2">
      <t>ソクリョウ</t>
    </rPh>
    <phoneticPr fontId="3"/>
  </si>
  <si>
    <t>調査</t>
    <rPh sb="0" eb="2">
      <t>チョウサ</t>
    </rPh>
    <phoneticPr fontId="3"/>
  </si>
  <si>
    <t>中</t>
    <rPh sb="0" eb="1">
      <t>チュウ</t>
    </rPh>
    <phoneticPr fontId="3"/>
  </si>
  <si>
    <t>易</t>
    <rPh sb="0" eb="1">
      <t>エキ</t>
    </rPh>
    <phoneticPr fontId="3"/>
  </si>
  <si>
    <t>難</t>
    <rPh sb="0" eb="1">
      <t>ナン</t>
    </rPh>
    <phoneticPr fontId="3"/>
  </si>
  <si>
    <t>技術経費率：技術難易：</t>
    <rPh sb="0" eb="2">
      <t>ギジュツ</t>
    </rPh>
    <rPh sb="2" eb="4">
      <t>ケイヒ</t>
    </rPh>
    <rPh sb="4" eb="5">
      <t>リツ</t>
    </rPh>
    <phoneticPr fontId="3"/>
  </si>
  <si>
    <t>人工計</t>
    <rPh sb="0" eb="1">
      <t>ニン</t>
    </rPh>
    <rPh sb="1" eb="2">
      <t>ク</t>
    </rPh>
    <rPh sb="2" eb="3">
      <t>ケイ</t>
    </rPh>
    <phoneticPr fontId="3"/>
  </si>
  <si>
    <t>見積有効期限</t>
    <rPh sb="0" eb="2">
      <t>ミツモリ</t>
    </rPh>
    <rPh sb="2" eb="4">
      <t>ユウコウ</t>
    </rPh>
    <rPh sb="4" eb="6">
      <t>キゲン</t>
    </rPh>
    <phoneticPr fontId="3"/>
  </si>
  <si>
    <t>歩掛有効期限</t>
    <rPh sb="0" eb="1">
      <t>ブ</t>
    </rPh>
    <rPh sb="1" eb="2">
      <t>ガカ</t>
    </rPh>
    <rPh sb="2" eb="4">
      <t>ユウコウ</t>
    </rPh>
    <rPh sb="4" eb="6">
      <t>キゲン</t>
    </rPh>
    <phoneticPr fontId="3"/>
  </si>
  <si>
    <t>単価有効期限</t>
    <rPh sb="0" eb="2">
      <t>タンカ</t>
    </rPh>
    <rPh sb="2" eb="4">
      <t>ユウコウ</t>
    </rPh>
    <rPh sb="4" eb="6">
      <t>キゲン</t>
    </rPh>
    <phoneticPr fontId="3"/>
  </si>
  <si>
    <t>有効期限の強制表示</t>
    <rPh sb="0" eb="2">
      <t>ユウコウ</t>
    </rPh>
    <rPh sb="2" eb="4">
      <t>キゲン</t>
    </rPh>
    <rPh sb="5" eb="7">
      <t>キョウセイ</t>
    </rPh>
    <rPh sb="7" eb="9">
      <t>ヒョウジ</t>
    </rPh>
    <phoneticPr fontId="3"/>
  </si>
  <si>
    <t>労務費</t>
    <rPh sb="0" eb="3">
      <t>ロウムヒ</t>
    </rPh>
    <phoneticPr fontId="3"/>
  </si>
  <si>
    <t>金    額</t>
    <rPh sb="0" eb="1">
      <t>キン</t>
    </rPh>
    <rPh sb="5" eb="6">
      <t>ガク</t>
    </rPh>
    <phoneticPr fontId="3"/>
  </si>
  <si>
    <t>旅費：打合せ回数・人数</t>
    <rPh sb="0" eb="2">
      <t>リョヒ</t>
    </rPh>
    <rPh sb="3" eb="5">
      <t>ウチアワ</t>
    </rPh>
    <rPh sb="6" eb="8">
      <t>カイスウ</t>
    </rPh>
    <rPh sb="9" eb="11">
      <t>ニンズウ</t>
    </rPh>
    <phoneticPr fontId="3"/>
  </si>
  <si>
    <t>電子成果品作成費</t>
    <rPh sb="0" eb="2">
      <t>デンシ</t>
    </rPh>
    <rPh sb="2" eb="4">
      <t>セイカ</t>
    </rPh>
    <rPh sb="4" eb="5">
      <t>ヒン</t>
    </rPh>
    <rPh sb="5" eb="7">
      <t>サクセイ</t>
    </rPh>
    <rPh sb="7" eb="8">
      <t>ヒ</t>
    </rPh>
    <phoneticPr fontId="3"/>
  </si>
  <si>
    <t>概略・予備・詳細</t>
    <rPh sb="0" eb="2">
      <t>ガイリャク</t>
    </rPh>
    <rPh sb="3" eb="5">
      <t>ヨビ</t>
    </rPh>
    <rPh sb="6" eb="8">
      <t>ショウサイ</t>
    </rPh>
    <phoneticPr fontId="3"/>
  </si>
  <si>
    <t>その他</t>
    <rPh sb="2" eb="3">
      <t>タ</t>
    </rPh>
    <phoneticPr fontId="3"/>
  </si>
  <si>
    <t>平成31年度</t>
    <rPh sb="0" eb="2">
      <t>ヘイセイ</t>
    </rPh>
    <rPh sb="4" eb="6">
      <t>ネンド</t>
    </rPh>
    <phoneticPr fontId="3"/>
  </si>
  <si>
    <t>直  接  人  件  費  明  細  書</t>
  </si>
  <si>
    <t>直接人件費</t>
    <phoneticPr fontId="3"/>
  </si>
  <si>
    <t>金    額</t>
    <phoneticPr fontId="3"/>
  </si>
  <si>
    <t>宛先追加以下記入</t>
    <rPh sb="0" eb="2">
      <t>アテサキ</t>
    </rPh>
    <rPh sb="2" eb="4">
      <t>ツイカ</t>
    </rPh>
    <rPh sb="4" eb="6">
      <t>イカ</t>
    </rPh>
    <rPh sb="6" eb="8">
      <t>キニュウ</t>
    </rPh>
    <phoneticPr fontId="3"/>
  </si>
  <si>
    <t>殿</t>
    <rPh sb="0" eb="1">
      <t>ドノ</t>
    </rPh>
    <phoneticPr fontId="3"/>
  </si>
  <si>
    <t>敬称変更：上記変</t>
    <rPh sb="0" eb="2">
      <t>ケイショウ</t>
    </rPh>
    <rPh sb="2" eb="4">
      <t>ヘンコウ</t>
    </rPh>
    <rPh sb="5" eb="7">
      <t>ジョウキ</t>
    </rPh>
    <rPh sb="7" eb="8">
      <t>ヘン</t>
    </rPh>
    <phoneticPr fontId="3"/>
  </si>
  <si>
    <t>長</t>
    <rPh sb="0" eb="1">
      <t>チョウ</t>
    </rPh>
    <phoneticPr fontId="3"/>
  </si>
  <si>
    <t>役称変更：上記変</t>
    <rPh sb="0" eb="1">
      <t>ヤク</t>
    </rPh>
    <rPh sb="1" eb="2">
      <t>ショウ</t>
    </rPh>
    <rPh sb="2" eb="4">
      <t>ヘンコウ</t>
    </rPh>
    <rPh sb="5" eb="7">
      <t>ジョウキ</t>
    </rPh>
    <rPh sb="7" eb="8">
      <t>ヘン</t>
    </rPh>
    <phoneticPr fontId="3"/>
  </si>
  <si>
    <t>消費税率</t>
    <rPh sb="0" eb="3">
      <t>ショウヒゼイ</t>
    </rPh>
    <rPh sb="3" eb="4">
      <t>リツ</t>
    </rPh>
    <phoneticPr fontId="3"/>
  </si>
  <si>
    <t>直接人件費明細書参照</t>
    <rPh sb="0" eb="2">
      <t>チョクセツ</t>
    </rPh>
    <rPh sb="2" eb="5">
      <t>ジンケンヒ</t>
    </rPh>
    <rPh sb="5" eb="8">
      <t>メイサイショ</t>
    </rPh>
    <rPh sb="8" eb="10">
      <t>サンショウ</t>
    </rPh>
    <phoneticPr fontId="3"/>
  </si>
  <si>
    <t>旅費交通費</t>
    <rPh sb="0" eb="2">
      <t>リョヒ</t>
    </rPh>
    <rPh sb="2" eb="5">
      <t>コウツウヒ</t>
    </rPh>
    <phoneticPr fontId="3"/>
  </si>
  <si>
    <t>業種</t>
    <rPh sb="0" eb="2">
      <t>ギョウシュ</t>
    </rPh>
    <phoneticPr fontId="3"/>
  </si>
  <si>
    <t>平成19年度</t>
  </si>
  <si>
    <t>平成20年度</t>
  </si>
  <si>
    <t>平成21年度</t>
  </si>
  <si>
    <t>平成22年度</t>
  </si>
  <si>
    <t>平成23年度</t>
  </si>
  <si>
    <t>平成24年度</t>
  </si>
  <si>
    <t>平成25年度</t>
  </si>
  <si>
    <t>平成26年度</t>
  </si>
  <si>
    <t>平成27年度</t>
  </si>
  <si>
    <t>平成28年度</t>
  </si>
  <si>
    <t>平成29年度</t>
  </si>
  <si>
    <t>主任技術者</t>
    <rPh sb="0" eb="2">
      <t>シュニン</t>
    </rPh>
    <rPh sb="2" eb="5">
      <t>ギジュツシャ</t>
    </rPh>
    <phoneticPr fontId="3"/>
  </si>
  <si>
    <t>理事、技師長</t>
    <rPh sb="0" eb="2">
      <t>リジ</t>
    </rPh>
    <rPh sb="3" eb="6">
      <t>ギシチョウ</t>
    </rPh>
    <phoneticPr fontId="3"/>
  </si>
  <si>
    <t>設</t>
    <rPh sb="0" eb="1">
      <t>セツ</t>
    </rPh>
    <phoneticPr fontId="3"/>
  </si>
  <si>
    <t>主任技師</t>
    <rPh sb="0" eb="2">
      <t>シュニン</t>
    </rPh>
    <rPh sb="2" eb="4">
      <t>ギシ</t>
    </rPh>
    <phoneticPr fontId="3"/>
  </si>
  <si>
    <t>技師(Ａ)</t>
    <rPh sb="0" eb="2">
      <t>ギシ</t>
    </rPh>
    <phoneticPr fontId="3"/>
  </si>
  <si>
    <t>技師(Ｂ)</t>
    <rPh sb="0" eb="2">
      <t>ギシ</t>
    </rPh>
    <phoneticPr fontId="3"/>
  </si>
  <si>
    <t>技師(Ｃ)</t>
    <rPh sb="0" eb="2">
      <t>ギシ</t>
    </rPh>
    <phoneticPr fontId="3"/>
  </si>
  <si>
    <t>計</t>
    <rPh sb="0" eb="1">
      <t>ケイ</t>
    </rPh>
    <phoneticPr fontId="3"/>
  </si>
  <si>
    <t>技術員</t>
    <rPh sb="0" eb="3">
      <t>ギジュツイン</t>
    </rPh>
    <phoneticPr fontId="3"/>
  </si>
  <si>
    <t>製図工</t>
    <rPh sb="0" eb="1">
      <t>セイ</t>
    </rPh>
    <rPh sb="1" eb="3">
      <t>ズコウ</t>
    </rPh>
    <phoneticPr fontId="3"/>
  </si>
  <si>
    <t>測量上級主任技師</t>
    <rPh sb="0" eb="2">
      <t>ソクリョウ</t>
    </rPh>
    <rPh sb="2" eb="4">
      <t>ジョウキュウ</t>
    </rPh>
    <rPh sb="4" eb="6">
      <t>シュニン</t>
    </rPh>
    <rPh sb="6" eb="7">
      <t>ワザ</t>
    </rPh>
    <rPh sb="7" eb="8">
      <t>シ</t>
    </rPh>
    <phoneticPr fontId="3"/>
  </si>
  <si>
    <t>測</t>
    <rPh sb="0" eb="1">
      <t>ソク</t>
    </rPh>
    <phoneticPr fontId="3"/>
  </si>
  <si>
    <t>測量主任技師</t>
    <rPh sb="0" eb="2">
      <t>ソクリョウ</t>
    </rPh>
    <rPh sb="2" eb="4">
      <t>シュニン</t>
    </rPh>
    <rPh sb="4" eb="6">
      <t>ギシ</t>
    </rPh>
    <phoneticPr fontId="3"/>
  </si>
  <si>
    <t>測量技師</t>
    <rPh sb="0" eb="2">
      <t>ソクリョウ</t>
    </rPh>
    <rPh sb="2" eb="4">
      <t>ギシ</t>
    </rPh>
    <phoneticPr fontId="3"/>
  </si>
  <si>
    <t>量</t>
    <rPh sb="0" eb="1">
      <t>リョウ</t>
    </rPh>
    <phoneticPr fontId="3"/>
  </si>
  <si>
    <t>測量技師補</t>
    <rPh sb="0" eb="2">
      <t>ソクリョウ</t>
    </rPh>
    <rPh sb="2" eb="4">
      <t>ギシ</t>
    </rPh>
    <rPh sb="4" eb="5">
      <t>ホ</t>
    </rPh>
    <phoneticPr fontId="3"/>
  </si>
  <si>
    <t>測量助手</t>
    <rPh sb="0" eb="2">
      <t>ソクリョウ</t>
    </rPh>
    <rPh sb="2" eb="4">
      <t>ジョシュ</t>
    </rPh>
    <phoneticPr fontId="3"/>
  </si>
  <si>
    <t>操縦士</t>
    <rPh sb="0" eb="3">
      <t>ソウジュウシ</t>
    </rPh>
    <phoneticPr fontId="3"/>
  </si>
  <si>
    <t>撮</t>
    <rPh sb="0" eb="1">
      <t>サツエイ</t>
    </rPh>
    <phoneticPr fontId="3"/>
  </si>
  <si>
    <t>整備士</t>
    <rPh sb="0" eb="2">
      <t>セイビ</t>
    </rPh>
    <rPh sb="2" eb="3">
      <t>シ</t>
    </rPh>
    <phoneticPr fontId="3"/>
  </si>
  <si>
    <t>影</t>
    <rPh sb="0" eb="1">
      <t>エイ</t>
    </rPh>
    <phoneticPr fontId="3"/>
  </si>
  <si>
    <t>撮影士</t>
    <rPh sb="0" eb="2">
      <t>サツエイ</t>
    </rPh>
    <rPh sb="2" eb="3">
      <t>シ</t>
    </rPh>
    <phoneticPr fontId="3"/>
  </si>
  <si>
    <t>撮影助手</t>
    <rPh sb="0" eb="2">
      <t>サツエイ</t>
    </rPh>
    <rPh sb="2" eb="4">
      <t>ジョシュ</t>
    </rPh>
    <phoneticPr fontId="3"/>
  </si>
  <si>
    <t>地</t>
    <rPh sb="0" eb="1">
      <t>チ</t>
    </rPh>
    <phoneticPr fontId="3"/>
  </si>
  <si>
    <t>地質調査技師</t>
    <rPh sb="0" eb="2">
      <t>チシツ</t>
    </rPh>
    <rPh sb="2" eb="4">
      <t>チョウサ</t>
    </rPh>
    <rPh sb="4" eb="6">
      <t>ギシ</t>
    </rPh>
    <phoneticPr fontId="3"/>
  </si>
  <si>
    <t>主任地質調査員</t>
    <rPh sb="0" eb="2">
      <t>シュニン</t>
    </rPh>
    <rPh sb="2" eb="4">
      <t>チシツ</t>
    </rPh>
    <rPh sb="4" eb="7">
      <t>チョウサイン</t>
    </rPh>
    <phoneticPr fontId="3"/>
  </si>
  <si>
    <t>質</t>
    <rPh sb="0" eb="1">
      <t>シツ</t>
    </rPh>
    <phoneticPr fontId="3"/>
  </si>
  <si>
    <t>地質調査員</t>
    <rPh sb="0" eb="2">
      <t>チシツ</t>
    </rPh>
    <rPh sb="2" eb="5">
      <t>チョウサイン</t>
    </rPh>
    <phoneticPr fontId="3"/>
  </si>
  <si>
    <t>普通作業員</t>
    <rPh sb="0" eb="2">
      <t>フツウ</t>
    </rPh>
    <rPh sb="2" eb="5">
      <t>サギョウイン</t>
    </rPh>
    <phoneticPr fontId="3"/>
  </si>
  <si>
    <t>潜水士</t>
    <rPh sb="0" eb="2">
      <t>センスイ</t>
    </rPh>
    <rPh sb="2" eb="3">
      <t>シ</t>
    </rPh>
    <phoneticPr fontId="3"/>
  </si>
  <si>
    <t>潜水送気員</t>
    <rPh sb="0" eb="2">
      <t>センスイ</t>
    </rPh>
    <rPh sb="2" eb="3">
      <t>ソウ</t>
    </rPh>
    <rPh sb="3" eb="4">
      <t>キ</t>
    </rPh>
    <rPh sb="4" eb="5">
      <t>イン</t>
    </rPh>
    <phoneticPr fontId="3"/>
  </si>
  <si>
    <t>点検整備工</t>
    <rPh sb="0" eb="2">
      <t>テンケン</t>
    </rPh>
    <rPh sb="2" eb="4">
      <t>セイビ</t>
    </rPh>
    <rPh sb="4" eb="5">
      <t>コウ</t>
    </rPh>
    <phoneticPr fontId="3"/>
  </si>
  <si>
    <t>潜水世話役</t>
    <rPh sb="0" eb="2">
      <t>センスイ</t>
    </rPh>
    <rPh sb="2" eb="5">
      <t>セワヤク</t>
    </rPh>
    <phoneticPr fontId="3"/>
  </si>
  <si>
    <t>潜水連絡員</t>
    <rPh sb="0" eb="2">
      <t>センスイ</t>
    </rPh>
    <rPh sb="2" eb="5">
      <t>レンラクイン</t>
    </rPh>
    <phoneticPr fontId="3"/>
  </si>
  <si>
    <t>交通誘導員A</t>
    <rPh sb="0" eb="2">
      <t>コウツウ</t>
    </rPh>
    <rPh sb="2" eb="5">
      <t>ユウドウイン</t>
    </rPh>
    <phoneticPr fontId="3"/>
  </si>
  <si>
    <t>交通誘導員B</t>
    <rPh sb="0" eb="2">
      <t>コウツウ</t>
    </rPh>
    <rPh sb="2" eb="5">
      <t>ユウドウイン</t>
    </rPh>
    <phoneticPr fontId="3"/>
  </si>
  <si>
    <t>高級船員</t>
    <rPh sb="0" eb="2">
      <t>コウキュウ</t>
    </rPh>
    <rPh sb="2" eb="4">
      <t>センイン</t>
    </rPh>
    <phoneticPr fontId="3"/>
  </si>
  <si>
    <t>普通船員</t>
    <rPh sb="0" eb="2">
      <t>フツウ</t>
    </rPh>
    <rPh sb="2" eb="4">
      <t>センイン</t>
    </rPh>
    <phoneticPr fontId="3"/>
  </si>
  <si>
    <t>軽作業員</t>
    <rPh sb="0" eb="1">
      <t>ケイ</t>
    </rPh>
    <rPh sb="1" eb="4">
      <t>サギョウイン</t>
    </rPh>
    <phoneticPr fontId="3"/>
  </si>
  <si>
    <t>注：使用注意</t>
    <rPh sb="0" eb="1">
      <t>チュウ</t>
    </rPh>
    <rPh sb="2" eb="4">
      <t>シヨウ</t>
    </rPh>
    <rPh sb="4" eb="6">
      <t>チュウイ</t>
    </rPh>
    <phoneticPr fontId="3"/>
  </si>
  <si>
    <t>普通作業員</t>
    <rPh sb="0" eb="2">
      <t>フツウ</t>
    </rPh>
    <rPh sb="2" eb="5">
      <t>サギョウイン</t>
    </rPh>
    <phoneticPr fontId="26"/>
  </si>
  <si>
    <t>福井県</t>
    <rPh sb="0" eb="3">
      <t>フクイケン</t>
    </rPh>
    <phoneticPr fontId="26"/>
  </si>
  <si>
    <t>滋賀県</t>
    <rPh sb="0" eb="3">
      <t>シガケン</t>
    </rPh>
    <phoneticPr fontId="26"/>
  </si>
  <si>
    <t>京都府</t>
    <rPh sb="0" eb="2">
      <t>キョウト</t>
    </rPh>
    <rPh sb="2" eb="3">
      <t>フ</t>
    </rPh>
    <phoneticPr fontId="26"/>
  </si>
  <si>
    <t>軽作業員</t>
    <rPh sb="0" eb="1">
      <t>ケイ</t>
    </rPh>
    <rPh sb="1" eb="4">
      <t>サギョウイン</t>
    </rPh>
    <phoneticPr fontId="26"/>
  </si>
  <si>
    <t>大阪府</t>
    <rPh sb="0" eb="2">
      <t>オオサカ</t>
    </rPh>
    <rPh sb="2" eb="3">
      <t>フ</t>
    </rPh>
    <phoneticPr fontId="26"/>
  </si>
  <si>
    <t>兵庫県</t>
    <rPh sb="0" eb="3">
      <t>ヒョウゴケン</t>
    </rPh>
    <phoneticPr fontId="26"/>
  </si>
  <si>
    <t>奈良県</t>
    <rPh sb="0" eb="3">
      <t>ナラケン</t>
    </rPh>
    <phoneticPr fontId="26"/>
  </si>
  <si>
    <t>和歌山県</t>
    <rPh sb="0" eb="4">
      <t>ワカヤマケン</t>
    </rPh>
    <phoneticPr fontId="26"/>
  </si>
  <si>
    <t>潜水士</t>
    <rPh sb="0" eb="3">
      <t>センスイシ</t>
    </rPh>
    <phoneticPr fontId="26"/>
  </si>
  <si>
    <t>潜水連絡員</t>
    <rPh sb="0" eb="2">
      <t>センスイ</t>
    </rPh>
    <rPh sb="2" eb="5">
      <t>レンラクイン</t>
    </rPh>
    <phoneticPr fontId="26"/>
  </si>
  <si>
    <t>潜水送気員</t>
    <rPh sb="0" eb="2">
      <t>センスイ</t>
    </rPh>
    <rPh sb="2" eb="3">
      <t>ソウ</t>
    </rPh>
    <rPh sb="3" eb="4">
      <t>キ</t>
    </rPh>
    <rPh sb="4" eb="5">
      <t>イン</t>
    </rPh>
    <phoneticPr fontId="26"/>
  </si>
  <si>
    <t>高級船員</t>
    <rPh sb="0" eb="2">
      <t>コウキュウ</t>
    </rPh>
    <rPh sb="2" eb="4">
      <t>センイン</t>
    </rPh>
    <phoneticPr fontId="26"/>
  </si>
  <si>
    <t>普通船員</t>
    <rPh sb="0" eb="2">
      <t>フツウ</t>
    </rPh>
    <rPh sb="2" eb="4">
      <t>センイン</t>
    </rPh>
    <phoneticPr fontId="26"/>
  </si>
  <si>
    <t xml:space="preserve">  H26府県別設計労務単価</t>
    <rPh sb="5" eb="7">
      <t>フケン</t>
    </rPh>
    <rPh sb="7" eb="8">
      <t>ベツ</t>
    </rPh>
    <rPh sb="8" eb="10">
      <t>セッケイ</t>
    </rPh>
    <rPh sb="10" eb="12">
      <t>ロウム</t>
    </rPh>
    <rPh sb="12" eb="14">
      <t>タンカ</t>
    </rPh>
    <phoneticPr fontId="26"/>
  </si>
  <si>
    <t>測量補助員</t>
    <rPh sb="0" eb="2">
      <t>ソクリョウ</t>
    </rPh>
    <rPh sb="2" eb="5">
      <t>ホジョイン</t>
    </rPh>
    <phoneticPr fontId="26"/>
  </si>
  <si>
    <t>測量船操縦士</t>
    <rPh sb="0" eb="2">
      <t>ソクリョウ</t>
    </rPh>
    <rPh sb="2" eb="3">
      <t>セン</t>
    </rPh>
    <rPh sb="3" eb="6">
      <t>ソウジュウシ</t>
    </rPh>
    <phoneticPr fontId="26"/>
  </si>
  <si>
    <t>労</t>
    <rPh sb="0" eb="1">
      <t>ロウ</t>
    </rPh>
    <phoneticPr fontId="26"/>
  </si>
  <si>
    <t>務</t>
    <rPh sb="0" eb="1">
      <t>ツトム</t>
    </rPh>
    <phoneticPr fontId="26"/>
  </si>
  <si>
    <t>費</t>
    <rPh sb="0" eb="1">
      <t>ヒ</t>
    </rPh>
    <phoneticPr fontId="26"/>
  </si>
  <si>
    <t>適用する府県名を選択してください</t>
    <rPh sb="0" eb="2">
      <t>テキヨウ</t>
    </rPh>
    <rPh sb="4" eb="6">
      <t>フケン</t>
    </rPh>
    <rPh sb="6" eb="7">
      <t>メイ</t>
    </rPh>
    <rPh sb="8" eb="10">
      <t>センタク</t>
    </rPh>
    <phoneticPr fontId="26"/>
  </si>
  <si>
    <t xml:space="preserve">  H27府県別設計労務単価</t>
    <rPh sb="5" eb="7">
      <t>フケン</t>
    </rPh>
    <rPh sb="7" eb="8">
      <t>ベツ</t>
    </rPh>
    <rPh sb="8" eb="10">
      <t>セッケイ</t>
    </rPh>
    <rPh sb="10" eb="12">
      <t>ロウム</t>
    </rPh>
    <rPh sb="12" eb="14">
      <t>タンカ</t>
    </rPh>
    <phoneticPr fontId="26"/>
  </si>
  <si>
    <t>交通誘導警備員A</t>
    <rPh sb="0" eb="2">
      <t>コウツウ</t>
    </rPh>
    <rPh sb="2" eb="4">
      <t>ユウドウ</t>
    </rPh>
    <rPh sb="4" eb="7">
      <t>ケイビイン</t>
    </rPh>
    <phoneticPr fontId="26"/>
  </si>
  <si>
    <t>交通誘導警備員B</t>
    <rPh sb="0" eb="2">
      <t>コウツウ</t>
    </rPh>
    <rPh sb="2" eb="4">
      <t>ユウドウ</t>
    </rPh>
    <rPh sb="4" eb="7">
      <t>ケイビイン</t>
    </rPh>
    <phoneticPr fontId="26"/>
  </si>
  <si>
    <t>運転手(特殊)</t>
    <rPh sb="0" eb="3">
      <t>ウンテンシュ</t>
    </rPh>
    <rPh sb="4" eb="6">
      <t>トクシュ</t>
    </rPh>
    <phoneticPr fontId="26"/>
  </si>
  <si>
    <t>運転手(一般)</t>
    <rPh sb="0" eb="3">
      <t>ウンテンシュ</t>
    </rPh>
    <rPh sb="4" eb="6">
      <t>イッパン</t>
    </rPh>
    <phoneticPr fontId="26"/>
  </si>
  <si>
    <t>金額計</t>
    <rPh sb="0" eb="2">
      <t>キンガク</t>
    </rPh>
    <rPh sb="2" eb="3">
      <t>ケイ</t>
    </rPh>
    <phoneticPr fontId="3"/>
  </si>
  <si>
    <t>見積条件：</t>
  </si>
  <si>
    <t>新</t>
    <rPh sb="0" eb="1">
      <t>シン</t>
    </rPh>
    <phoneticPr fontId="3"/>
  </si>
  <si>
    <t>【積算区分】</t>
    <rPh sb="1" eb="3">
      <t>セキサン</t>
    </rPh>
    <rPh sb="3" eb="5">
      <t>クブン</t>
    </rPh>
    <phoneticPr fontId="3"/>
  </si>
  <si>
    <t>【旧積算の技術難易度】</t>
    <rPh sb="1" eb="2">
      <t>キュウ</t>
    </rPh>
    <rPh sb="2" eb="4">
      <t>セキサン</t>
    </rPh>
    <rPh sb="5" eb="7">
      <t>ギジュツ</t>
    </rPh>
    <rPh sb="7" eb="10">
      <t>ナンイド</t>
    </rPh>
    <phoneticPr fontId="3"/>
  </si>
  <si>
    <t>【一般経費率】</t>
    <rPh sb="1" eb="3">
      <t>イッパン</t>
    </rPh>
    <rPh sb="3" eb="5">
      <t>ケイヒ</t>
    </rPh>
    <rPh sb="5" eb="6">
      <t>リツ</t>
    </rPh>
    <phoneticPr fontId="3"/>
  </si>
  <si>
    <t>単位</t>
    <rPh sb="0" eb="2">
      <t>タンイ</t>
    </rPh>
    <phoneticPr fontId="3"/>
  </si>
  <si>
    <t>数量</t>
    <rPh sb="0" eb="2">
      <t>スウリョウ</t>
    </rPh>
    <phoneticPr fontId="3"/>
  </si>
  <si>
    <t>宛先名前：Ａ29に記入</t>
    <rPh sb="0" eb="1">
      <t>アテ</t>
    </rPh>
    <rPh sb="1" eb="2">
      <t>サキ</t>
    </rPh>
    <rPh sb="2" eb="4">
      <t>ナマエ</t>
    </rPh>
    <rPh sb="9" eb="11">
      <t>キニュウ</t>
    </rPh>
    <phoneticPr fontId="3"/>
  </si>
  <si>
    <t>知事宛：Ａ27に1</t>
    <rPh sb="0" eb="2">
      <t>チジ</t>
    </rPh>
    <rPh sb="2" eb="3">
      <t>アテ</t>
    </rPh>
    <phoneticPr fontId="3"/>
  </si>
  <si>
    <t>【その他経費率】　　</t>
    <rPh sb="3" eb="4">
      <t>タ</t>
    </rPh>
    <rPh sb="4" eb="6">
      <t>ケイヒ</t>
    </rPh>
    <rPh sb="6" eb="7">
      <t>リツ</t>
    </rPh>
    <phoneticPr fontId="3"/>
  </si>
  <si>
    <t>条件等設定部分：絶対に消さないでください！</t>
    <rPh sb="0" eb="2">
      <t>ジョウケン</t>
    </rPh>
    <rPh sb="2" eb="3">
      <t>トウ</t>
    </rPh>
    <rPh sb="3" eb="5">
      <t>セッテイ</t>
    </rPh>
    <rPh sb="5" eb="7">
      <t>ブブン</t>
    </rPh>
    <rPh sb="8" eb="10">
      <t>ゼッタイ</t>
    </rPh>
    <rPh sb="11" eb="12">
      <t>ケ</t>
    </rPh>
    <phoneticPr fontId="3"/>
  </si>
  <si>
    <t>片道料金(税込)</t>
    <rPh sb="0" eb="2">
      <t>カタミチ</t>
    </rPh>
    <rPh sb="2" eb="4">
      <t>リョウキン</t>
    </rPh>
    <rPh sb="5" eb="7">
      <t>ゼイコミ</t>
    </rPh>
    <phoneticPr fontId="3"/>
  </si>
  <si>
    <t>1回当り人数</t>
    <rPh sb="1" eb="2">
      <t>カイ</t>
    </rPh>
    <rPh sb="2" eb="3">
      <t>アタ</t>
    </rPh>
    <rPh sb="4" eb="6">
      <t>ニンズウ</t>
    </rPh>
    <phoneticPr fontId="3"/>
  </si>
  <si>
    <t>回数</t>
    <rPh sb="0" eb="2">
      <t>カイスウ</t>
    </rPh>
    <phoneticPr fontId="3"/>
  </si>
  <si>
    <t>旅費交通費(打合せ)</t>
    <rPh sb="0" eb="2">
      <t>リョヒ</t>
    </rPh>
    <rPh sb="2" eb="5">
      <t>コウツウヒ</t>
    </rPh>
    <rPh sb="6" eb="8">
      <t>ウチアワ</t>
    </rPh>
    <phoneticPr fontId="3"/>
  </si>
  <si>
    <t>※金額の端数処理は、L1セルで設定</t>
    <rPh sb="1" eb="3">
      <t>キンガク</t>
    </rPh>
    <rPh sb="4" eb="6">
      <t>ハスウ</t>
    </rPh>
    <rPh sb="6" eb="8">
      <t>ショリ</t>
    </rPh>
    <rPh sb="15" eb="17">
      <t>セッテイ</t>
    </rPh>
    <phoneticPr fontId="3"/>
  </si>
  <si>
    <t>経費等率の端数処理(変更禁止!)</t>
    <rPh sb="0" eb="2">
      <t>ケイヒ</t>
    </rPh>
    <rPh sb="2" eb="3">
      <t>トウ</t>
    </rPh>
    <rPh sb="3" eb="4">
      <t>リツ</t>
    </rPh>
    <rPh sb="5" eb="7">
      <t>ハスウ</t>
    </rPh>
    <rPh sb="7" eb="9">
      <t>ショリ</t>
    </rPh>
    <rPh sb="10" eb="12">
      <t>ヘンコウ</t>
    </rPh>
    <rPh sb="12" eb="14">
      <t>キンシ</t>
    </rPh>
    <phoneticPr fontId="3"/>
  </si>
  <si>
    <t>（国交省基準）</t>
    <rPh sb="1" eb="4">
      <t>コッコウショウ</t>
    </rPh>
    <rPh sb="4" eb="6">
      <t>キジュン</t>
    </rPh>
    <phoneticPr fontId="3"/>
  </si>
  <si>
    <t>徳島県</t>
    <rPh sb="0" eb="3">
      <t>トクシマケン</t>
    </rPh>
    <phoneticPr fontId="26"/>
  </si>
  <si>
    <t>香川県</t>
    <rPh sb="0" eb="2">
      <t>カガワ</t>
    </rPh>
    <rPh sb="2" eb="3">
      <t>ケン</t>
    </rPh>
    <phoneticPr fontId="26"/>
  </si>
  <si>
    <t>愛媛県</t>
    <rPh sb="0" eb="3">
      <t>エヒメケン</t>
    </rPh>
    <phoneticPr fontId="26"/>
  </si>
  <si>
    <t>高知県</t>
    <rPh sb="0" eb="3">
      <t>コウチケン</t>
    </rPh>
    <phoneticPr fontId="26"/>
  </si>
  <si>
    <t>府県名の消去：A31に記入</t>
    <rPh sb="0" eb="2">
      <t>フケン</t>
    </rPh>
    <rPh sb="2" eb="3">
      <t>メイ</t>
    </rPh>
    <rPh sb="4" eb="6">
      <t>ショウキョ</t>
    </rPh>
    <rPh sb="11" eb="13">
      <t>キニュウ</t>
    </rPh>
    <phoneticPr fontId="3"/>
  </si>
  <si>
    <t>日付：全抜き　：A34に1</t>
    <rPh sb="0" eb="2">
      <t>ヒヅケ</t>
    </rPh>
    <rPh sb="3" eb="4">
      <t>ゼン</t>
    </rPh>
    <rPh sb="4" eb="5">
      <t>ヌ</t>
    </rPh>
    <phoneticPr fontId="3"/>
  </si>
  <si>
    <t>日付：月日抜き：A34に2</t>
    <rPh sb="0" eb="2">
      <t>ヒヅケ</t>
    </rPh>
    <rPh sb="3" eb="5">
      <t>ツキヒ</t>
    </rPh>
    <rPh sb="5" eb="6">
      <t>ヌ</t>
    </rPh>
    <phoneticPr fontId="3"/>
  </si>
  <si>
    <t>日付：日抜き　：A34に3</t>
    <rPh sb="0" eb="2">
      <t>ヒヅケ</t>
    </rPh>
    <rPh sb="3" eb="4">
      <t>ヒ</t>
    </rPh>
    <rPh sb="4" eb="5">
      <t>ヌ</t>
    </rPh>
    <phoneticPr fontId="3"/>
  </si>
  <si>
    <t xml:space="preserve">  H28府県別設計労務単価</t>
    <rPh sb="5" eb="7">
      <t>フケン</t>
    </rPh>
    <rPh sb="7" eb="8">
      <t>ベツ</t>
    </rPh>
    <rPh sb="8" eb="10">
      <t>セッケイ</t>
    </rPh>
    <rPh sb="10" eb="12">
      <t>ロウム</t>
    </rPh>
    <rPh sb="12" eb="14">
      <t>タンカ</t>
    </rPh>
    <phoneticPr fontId="26"/>
  </si>
  <si>
    <t xml:space="preserve">  H29府県別設計労務単価</t>
    <rPh sb="5" eb="7">
      <t>フケン</t>
    </rPh>
    <rPh sb="7" eb="8">
      <t>ベツ</t>
    </rPh>
    <rPh sb="8" eb="10">
      <t>セッケイ</t>
    </rPh>
    <rPh sb="10" eb="12">
      <t>ロウム</t>
    </rPh>
    <rPh sb="12" eb="14">
      <t>タンカ</t>
    </rPh>
    <phoneticPr fontId="26"/>
  </si>
  <si>
    <t xml:space="preserve">  H30府県別設計労務単価</t>
    <rPh sb="5" eb="7">
      <t>フケン</t>
    </rPh>
    <rPh sb="7" eb="8">
      <t>ベツ</t>
    </rPh>
    <rPh sb="8" eb="10">
      <t>セッケイ</t>
    </rPh>
    <rPh sb="10" eb="12">
      <t>ロウム</t>
    </rPh>
    <rPh sb="12" eb="14">
      <t>タンカ</t>
    </rPh>
    <phoneticPr fontId="26"/>
  </si>
  <si>
    <t>電工</t>
    <rPh sb="0" eb="2">
      <t>デンコウ</t>
    </rPh>
    <phoneticPr fontId="26"/>
  </si>
  <si>
    <t>直　接　経　費　内　訳　書</t>
    <rPh sb="0" eb="1">
      <t>チョク</t>
    </rPh>
    <rPh sb="2" eb="3">
      <t>セッ</t>
    </rPh>
    <rPh sb="4" eb="5">
      <t>ヘ</t>
    </rPh>
    <rPh sb="6" eb="7">
      <t>ヒ</t>
    </rPh>
    <rPh sb="8" eb="9">
      <t>ナイ</t>
    </rPh>
    <rPh sb="10" eb="11">
      <t>ワケ</t>
    </rPh>
    <rPh sb="12" eb="13">
      <t>ショ</t>
    </rPh>
    <phoneticPr fontId="3"/>
  </si>
  <si>
    <t xml:space="preserve">  H31府県別設計労務単価</t>
    <rPh sb="5" eb="7">
      <t>フケン</t>
    </rPh>
    <rPh sb="7" eb="8">
      <t>ベツ</t>
    </rPh>
    <rPh sb="8" eb="10">
      <t>セッケイ</t>
    </rPh>
    <rPh sb="10" eb="12">
      <t>ロウム</t>
    </rPh>
    <rPh sb="12" eb="14">
      <t>タンカ</t>
    </rPh>
    <phoneticPr fontId="26"/>
  </si>
  <si>
    <t>平成31年度</t>
  </si>
  <si>
    <t>令和2年度</t>
    <rPh sb="0" eb="2">
      <t>レイワ</t>
    </rPh>
    <rPh sb="3" eb="5">
      <t>ネンド</t>
    </rPh>
    <phoneticPr fontId="3"/>
  </si>
  <si>
    <t>令和3年度</t>
    <rPh sb="0" eb="2">
      <t>レイワ</t>
    </rPh>
    <rPh sb="3" eb="5">
      <t>ネンド</t>
    </rPh>
    <phoneticPr fontId="3"/>
  </si>
  <si>
    <t>令和4年度</t>
    <rPh sb="0" eb="2">
      <t>レイワ</t>
    </rPh>
    <rPh sb="3" eb="5">
      <t>ネンド</t>
    </rPh>
    <phoneticPr fontId="3"/>
  </si>
  <si>
    <t>令和5年度</t>
    <rPh sb="0" eb="2">
      <t>レイワ</t>
    </rPh>
    <rPh sb="3" eb="5">
      <t>ネンド</t>
    </rPh>
    <phoneticPr fontId="3"/>
  </si>
  <si>
    <t>令和6年度</t>
    <rPh sb="0" eb="2">
      <t>レイワ</t>
    </rPh>
    <rPh sb="3" eb="5">
      <t>ネンド</t>
    </rPh>
    <phoneticPr fontId="3"/>
  </si>
  <si>
    <t>令和7年度</t>
    <rPh sb="0" eb="2">
      <t>レイワ</t>
    </rPh>
    <rPh sb="3" eb="5">
      <t>ネンド</t>
    </rPh>
    <phoneticPr fontId="3"/>
  </si>
  <si>
    <t>令和8年度</t>
    <rPh sb="0" eb="2">
      <t>レイワ</t>
    </rPh>
    <rPh sb="3" eb="5">
      <t>ネンド</t>
    </rPh>
    <phoneticPr fontId="3"/>
  </si>
  <si>
    <t>令和9年度</t>
    <rPh sb="0" eb="2">
      <t>レイワ</t>
    </rPh>
    <rPh sb="3" eb="5">
      <t>ネンド</t>
    </rPh>
    <phoneticPr fontId="3"/>
  </si>
  <si>
    <t>令和10年度</t>
    <rPh sb="0" eb="2">
      <t>レイワ</t>
    </rPh>
    <rPh sb="4" eb="6">
      <t>ネンド</t>
    </rPh>
    <phoneticPr fontId="3"/>
  </si>
  <si>
    <t>令和11年度</t>
    <rPh sb="0" eb="2">
      <t>レイワ</t>
    </rPh>
    <rPh sb="4" eb="6">
      <t>ネンド</t>
    </rPh>
    <phoneticPr fontId="3"/>
  </si>
  <si>
    <t>令和2年度</t>
    <rPh sb="0" eb="2">
      <t>レイワ</t>
    </rPh>
    <phoneticPr fontId="26"/>
  </si>
  <si>
    <t xml:space="preserve">  R2府県別設計労務単価</t>
    <rPh sb="4" eb="6">
      <t>フケン</t>
    </rPh>
    <rPh sb="6" eb="7">
      <t>ベツ</t>
    </rPh>
    <rPh sb="7" eb="9">
      <t>セッケイ</t>
    </rPh>
    <rPh sb="9" eb="11">
      <t>ロウム</t>
    </rPh>
    <rPh sb="11" eb="13">
      <t>タンカ</t>
    </rPh>
    <phoneticPr fontId="26"/>
  </si>
  <si>
    <t>令和3年度</t>
    <rPh sb="0" eb="2">
      <t>レイワ</t>
    </rPh>
    <phoneticPr fontId="26"/>
  </si>
  <si>
    <t xml:space="preserve">  R3府県別設計労務単価</t>
    <rPh sb="4" eb="6">
      <t>フケン</t>
    </rPh>
    <rPh sb="6" eb="7">
      <t>ベツ</t>
    </rPh>
    <rPh sb="7" eb="9">
      <t>セッケイ</t>
    </rPh>
    <rPh sb="9" eb="11">
      <t>ロウム</t>
    </rPh>
    <rPh sb="11" eb="13">
      <t>タンカ</t>
    </rPh>
    <phoneticPr fontId="26"/>
  </si>
  <si>
    <t>平成30年度</t>
    <phoneticPr fontId="26"/>
  </si>
  <si>
    <t>キーパンチャー</t>
    <phoneticPr fontId="3"/>
  </si>
  <si>
    <t>　↑</t>
    <phoneticPr fontId="26"/>
  </si>
  <si>
    <t>令和4年度</t>
    <rPh sb="0" eb="2">
      <t>レイワ</t>
    </rPh>
    <phoneticPr fontId="26"/>
  </si>
  <si>
    <t xml:space="preserve">  R4府県別設計労務単価</t>
    <rPh sb="4" eb="6">
      <t>フケン</t>
    </rPh>
    <rPh sb="6" eb="7">
      <t>ベツ</t>
    </rPh>
    <rPh sb="7" eb="9">
      <t>セッケイ</t>
    </rPh>
    <rPh sb="9" eb="11">
      <t>ロウム</t>
    </rPh>
    <rPh sb="11" eb="13">
      <t>タンカ</t>
    </rPh>
    <phoneticPr fontId="26"/>
  </si>
  <si>
    <t>令和5年度</t>
    <rPh sb="0" eb="2">
      <t>レイワ</t>
    </rPh>
    <phoneticPr fontId="26"/>
  </si>
  <si>
    <t xml:space="preserve">  R5府県別設計労務単価</t>
    <rPh sb="4" eb="6">
      <t>フケン</t>
    </rPh>
    <rPh sb="6" eb="7">
      <t>ベツ</t>
    </rPh>
    <rPh sb="7" eb="9">
      <t>セッケイ</t>
    </rPh>
    <rPh sb="9" eb="11">
      <t>ロウム</t>
    </rPh>
    <rPh sb="11" eb="13">
      <t>タンカ</t>
    </rPh>
    <phoneticPr fontId="26"/>
  </si>
  <si>
    <t>測量業務</t>
    <rPh sb="0" eb="4">
      <t>ソクリョウギョウム</t>
    </rPh>
    <phoneticPr fontId="26"/>
  </si>
  <si>
    <t>地質調査業務</t>
    <rPh sb="0" eb="2">
      <t>チシツ</t>
    </rPh>
    <rPh sb="2" eb="4">
      <t>チョウサ</t>
    </rPh>
    <rPh sb="4" eb="6">
      <t>ギョウム</t>
    </rPh>
    <phoneticPr fontId="26"/>
  </si>
  <si>
    <t>土木設計業務</t>
    <rPh sb="0" eb="4">
      <t>ドボクセッケイ</t>
    </rPh>
    <rPh sb="4" eb="6">
      <t>ギョウム</t>
    </rPh>
    <phoneticPr fontId="26"/>
  </si>
  <si>
    <t>調査、計画業務</t>
    <rPh sb="0" eb="2">
      <t>チョウサ</t>
    </rPh>
    <rPh sb="3" eb="5">
      <t>ケイカク</t>
    </rPh>
    <rPh sb="5" eb="7">
      <t>ギョウム</t>
    </rPh>
    <phoneticPr fontId="26"/>
  </si>
  <si>
    <t>令和6年度</t>
    <rPh sb="0" eb="2">
      <t>レイワ</t>
    </rPh>
    <phoneticPr fontId="26"/>
  </si>
  <si>
    <t xml:space="preserve">  R6府県別設計労務単価</t>
    <rPh sb="4" eb="6">
      <t>フケン</t>
    </rPh>
    <rPh sb="6" eb="7">
      <t>ベツ</t>
    </rPh>
    <rPh sb="7" eb="9">
      <t>セッケイ</t>
    </rPh>
    <rPh sb="9" eb="11">
      <t>ロウム</t>
    </rPh>
    <rPh sb="11" eb="13">
      <t>タンカ</t>
    </rPh>
    <phoneticPr fontId="26"/>
  </si>
  <si>
    <t>令和7年度</t>
    <rPh sb="0" eb="2">
      <t>レイワ</t>
    </rPh>
    <phoneticPr fontId="26"/>
  </si>
  <si>
    <t xml:space="preserve">  R7府県別設計労務単価</t>
    <rPh sb="4" eb="6">
      <t>フケン</t>
    </rPh>
    <rPh sb="6" eb="7">
      <t>ベツ</t>
    </rPh>
    <rPh sb="7" eb="9">
      <t>セッケイ</t>
    </rPh>
    <rPh sb="9" eb="11">
      <t>ロウム</t>
    </rPh>
    <rPh sb="11" eb="13">
      <t>タンカ</t>
    </rPh>
    <phoneticPr fontId="26"/>
  </si>
  <si>
    <t>件名、田原本停車場線　歩道設置検討業務委託（防災・安全（道環））</t>
    <rPh sb="0" eb="2">
      <t>ケンメイ</t>
    </rPh>
    <phoneticPr fontId="3"/>
  </si>
  <si>
    <t>奈）中和土木事務所</t>
    <rPh sb="0" eb="1">
      <t>ナ</t>
    </rPh>
    <rPh sb="2" eb="4">
      <t>チュウワ</t>
    </rPh>
    <rPh sb="4" eb="6">
      <t>ドボク</t>
    </rPh>
    <rPh sb="6" eb="8">
      <t>ジム</t>
    </rPh>
    <rPh sb="8" eb="9">
      <t>ショ</t>
    </rPh>
    <phoneticPr fontId="3"/>
  </si>
  <si>
    <t>（１）業務計画</t>
    <rPh sb="3" eb="7">
      <t>ギョウムケイカク</t>
    </rPh>
    <phoneticPr fontId="26"/>
  </si>
  <si>
    <t>（２）現況調査</t>
    <rPh sb="3" eb="7">
      <t>ゲンキョウチョウサ</t>
    </rPh>
    <phoneticPr fontId="26"/>
  </si>
  <si>
    <t>（３）交通量調査</t>
    <rPh sb="3" eb="8">
      <t>コウツウリョウチョウサ</t>
    </rPh>
    <phoneticPr fontId="26"/>
  </si>
  <si>
    <t>１）調査実施（①～④：自動車、自転車、歩行者）</t>
    <rPh sb="2" eb="6">
      <t>チョウサジッシ</t>
    </rPh>
    <rPh sb="11" eb="14">
      <t>ジドウシャ</t>
    </rPh>
    <rPh sb="15" eb="18">
      <t>ジテンシャ</t>
    </rPh>
    <rPh sb="19" eb="22">
      <t>ホコウシャ</t>
    </rPh>
    <phoneticPr fontId="26"/>
  </si>
  <si>
    <t>１）調査実施（⑤～⑥：歩行者）</t>
    <rPh sb="2" eb="6">
      <t>チョウサジッシ</t>
    </rPh>
    <rPh sb="11" eb="14">
      <t>ホコウシャ</t>
    </rPh>
    <phoneticPr fontId="26"/>
  </si>
  <si>
    <t>２）調査結果とりまとめ（①～④：自動車、自転車、歩行者）</t>
    <rPh sb="2" eb="6">
      <t>チョウサケッカ</t>
    </rPh>
    <rPh sb="16" eb="19">
      <t>ジドウシャ</t>
    </rPh>
    <rPh sb="20" eb="23">
      <t>ジテンシャ</t>
    </rPh>
    <rPh sb="24" eb="27">
      <t>ホコウシャ</t>
    </rPh>
    <phoneticPr fontId="26"/>
  </si>
  <si>
    <t>２）調査結果とりまとめ（⑤～⑥：歩行者）</t>
    <rPh sb="2" eb="6">
      <t>チョウサケッカ</t>
    </rPh>
    <rPh sb="16" eb="19">
      <t>ホコウシャ</t>
    </rPh>
    <phoneticPr fontId="26"/>
  </si>
  <si>
    <t>（４）道路利用に関する実態調査・とりまとめ</t>
    <rPh sb="3" eb="7">
      <t>ドウロリヨウ</t>
    </rPh>
    <rPh sb="8" eb="9">
      <t>カン</t>
    </rPh>
    <rPh sb="11" eb="15">
      <t>ジッタイチョウサ</t>
    </rPh>
    <phoneticPr fontId="26"/>
  </si>
  <si>
    <t>（５）歩道設置の必要性の検討</t>
    <rPh sb="3" eb="7">
      <t>ホドウセッチ</t>
    </rPh>
    <rPh sb="8" eb="11">
      <t>ヒツヨウセイ</t>
    </rPh>
    <rPh sb="12" eb="14">
      <t>ケントウ</t>
    </rPh>
    <phoneticPr fontId="26"/>
  </si>
  <si>
    <t>（６）関係機関協議資料作成</t>
    <rPh sb="3" eb="13">
      <t>カンケイキカンキョウギシリョウサクセイ</t>
    </rPh>
    <phoneticPr fontId="26"/>
  </si>
  <si>
    <t>（７）照査</t>
    <rPh sb="3" eb="5">
      <t>ショウサ</t>
    </rPh>
    <phoneticPr fontId="26"/>
  </si>
  <si>
    <t>（８）報告書作成</t>
    <rPh sb="3" eb="8">
      <t>ホウコクショサクセイ</t>
    </rPh>
    <phoneticPr fontId="26"/>
  </si>
  <si>
    <t>式</t>
    <rPh sb="0" eb="1">
      <t>シキ</t>
    </rPh>
    <phoneticPr fontId="26"/>
  </si>
  <si>
    <t>4箇所</t>
    <rPh sb="1" eb="3">
      <t>カショ</t>
    </rPh>
    <phoneticPr fontId="26"/>
  </si>
  <si>
    <t>2箇所</t>
    <rPh sb="1" eb="3">
      <t>カショ</t>
    </rPh>
    <phoneticPr fontId="26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</si>
</sst>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2">
    <numFmt numFmtId="41" formatCode="_ * #,##0_ ;_ * \-#,##0_ ;_ * &quot;-&quot;_ ;_ @_ "/>
    <numFmt numFmtId="176" formatCode="0.0"/>
    <numFmt numFmtId="177" formatCode="&quot;諸経費率   &quot;0%"/>
    <numFmt numFmtId="178" formatCode="&quot;技術経費率  &quot;0%"/>
    <numFmt numFmtId="179" formatCode="#,##0;;;"/>
    <numFmt numFmtId="180" formatCode="&quot;合 計 額　&quot;???,???,##0&quot; 円也&quot;"/>
    <numFmt numFmtId="181" formatCode="???,???,##0"/>
    <numFmt numFmtId="182" formatCode="#,##0_);[Red]\(#,##0\)"/>
    <numFmt numFmtId="183" formatCode="&quot;設 計 額　&quot;???,???,##0&quot; 　　&quot;"/>
    <numFmt numFmtId="184" formatCode="&quot;消費税額　&quot;???,???,##0&quot; 　　&quot;"/>
    <numFmt numFmtId="185" formatCode="0&quot;日当り&quot;"/>
    <numFmt numFmtId="186" formatCode="0.0_ "/>
    <numFmt numFmtId="187" formatCode="yyyy&quot;年&quot;m&quot;月&quot;d&quot;日(&quot;aaa\)h:mm"/>
    <numFmt numFmtId="188" formatCode="&quot;設 計 額　&quot;???,???,##0&quot; 円也&quot;"/>
    <numFmt numFmtId="189" formatCode="&quot;消費税額　&quot;???,???,##0&quot; 円也&quot;"/>
    <numFmt numFmtId="190" formatCode="&quot;単位止め　&quot;#,##0"/>
    <numFmt numFmtId="191" formatCode="&quot;諸経費率　&quot;0.0%"/>
    <numFmt numFmtId="192" formatCode="[$-411]ggge&quot;年&quot;m&quot;月&quot;d&quot;日&quot;;@"/>
    <numFmt numFmtId="193" formatCode="#,##0\ "/>
    <numFmt numFmtId="194" formatCode="#,##0_ "/>
    <numFmt numFmtId="195" formatCode="#,##0_ ;[Red]\-#,##0\ "/>
    <numFmt numFmtId="196" formatCode="0.00_ "/>
  </numFmts>
  <fonts count="45">
    <font>
      <sz val="10"/>
      <name val="明朝"/>
      <family val="1"/>
      <charset val="128"/>
    </font>
    <font>
      <sz val="14"/>
      <name val="System"/>
      <charset val="128"/>
    </font>
    <font>
      <sz val="24"/>
      <name val="ＭＳ ゴシック"/>
      <family val="3"/>
      <charset val="128"/>
    </font>
    <font>
      <sz val="6"/>
      <name val="ＭＳ Ｐ明朝"/>
      <family val="1"/>
      <charset val="128"/>
    </font>
    <font>
      <sz val="10"/>
      <name val="ＭＳ ゴシック"/>
      <family val="3"/>
      <charset val="128"/>
    </font>
    <font>
      <sz val="14"/>
      <name val="ＭＳ ゴシック"/>
      <family val="3"/>
      <charset val="128"/>
    </font>
    <font>
      <sz val="12"/>
      <name val="ＭＳ ゴシック"/>
      <family val="3"/>
      <charset val="128"/>
    </font>
    <font>
      <sz val="10"/>
      <color indexed="9"/>
      <name val="ＭＳ ゴシック"/>
      <family val="3"/>
      <charset val="128"/>
    </font>
    <font>
      <b/>
      <sz val="9"/>
      <color indexed="81"/>
      <name val="ＭＳ Ｐゴシック"/>
      <family val="3"/>
      <charset val="128"/>
    </font>
    <font>
      <b/>
      <sz val="9"/>
      <color indexed="10"/>
      <name val="ＭＳ Ｐゴシック"/>
      <family val="3"/>
      <charset val="128"/>
    </font>
    <font>
      <sz val="10"/>
      <name val="明朝"/>
      <family val="1"/>
      <charset val="128"/>
    </font>
    <font>
      <sz val="9"/>
      <color indexed="81"/>
      <name val="ＭＳ Ｐゴシック"/>
      <family val="3"/>
      <charset val="128"/>
    </font>
    <font>
      <sz val="9"/>
      <color indexed="10"/>
      <name val="ＭＳ Ｐゴシック"/>
      <family val="3"/>
      <charset val="128"/>
    </font>
    <font>
      <sz val="14"/>
      <name val="ｺﾞｼｯｸ"/>
      <family val="3"/>
      <charset val="128"/>
    </font>
    <font>
      <u/>
      <sz val="14"/>
      <name val="ｺﾞｼｯｸ"/>
      <family val="3"/>
      <charset val="128"/>
    </font>
    <font>
      <sz val="12"/>
      <color indexed="9"/>
      <name val="ＭＳ ゴシック"/>
      <family val="3"/>
      <charset val="128"/>
    </font>
    <font>
      <sz val="10"/>
      <name val="ＭＳ Ｐ明朝"/>
      <family val="1"/>
      <charset val="128"/>
    </font>
    <font>
      <sz val="12"/>
      <name val="ＭＳ Ｐ明朝"/>
      <family val="1"/>
      <charset val="128"/>
    </font>
    <font>
      <sz val="11"/>
      <name val="ＭＳ Ｐゴシック"/>
      <family val="3"/>
      <charset val="128"/>
    </font>
    <font>
      <sz val="10"/>
      <color indexed="10"/>
      <name val="ＭＳ ゴシック"/>
      <family val="3"/>
      <charset val="128"/>
    </font>
    <font>
      <sz val="12"/>
      <color indexed="10"/>
      <name val="ＭＳ Ｐゴシック"/>
      <family val="3"/>
      <charset val="128"/>
    </font>
    <font>
      <b/>
      <sz val="12"/>
      <color indexed="10"/>
      <name val="ＭＳ Ｐゴシック"/>
      <family val="3"/>
      <charset val="128"/>
    </font>
    <font>
      <sz val="10"/>
      <color theme="0"/>
      <name val="ＭＳ ゴシック"/>
      <family val="3"/>
      <charset val="128"/>
    </font>
    <font>
      <sz val="8"/>
      <color indexed="9"/>
      <name val="ＭＳ ゴシック"/>
      <family val="3"/>
      <charset val="128"/>
    </font>
    <font>
      <sz val="9"/>
      <color theme="0"/>
      <name val="ＭＳ ゴシック"/>
      <family val="3"/>
      <charset val="128"/>
    </font>
    <font>
      <sz val="12"/>
      <name val="明朝"/>
      <family val="1"/>
      <charset val="128"/>
    </font>
    <font>
      <sz val="6"/>
      <name val="明朝"/>
      <family val="1"/>
      <charset val="128"/>
    </font>
    <font>
      <sz val="10"/>
      <color indexed="10"/>
      <name val="明朝"/>
      <family val="1"/>
      <charset val="128"/>
    </font>
    <font>
      <sz val="12"/>
      <color indexed="10"/>
      <name val="明朝"/>
      <family val="1"/>
      <charset val="128"/>
    </font>
    <font>
      <b/>
      <sz val="12"/>
      <color indexed="81"/>
      <name val="ＭＳ Ｐゴシック"/>
      <family val="3"/>
      <charset val="128"/>
    </font>
    <font>
      <b/>
      <sz val="11"/>
      <name val="ＭＳ Ｐ明朝"/>
      <family val="1"/>
      <charset val="128"/>
    </font>
    <font>
      <sz val="11"/>
      <name val="ＭＳ Ｐ明朝"/>
      <family val="1"/>
      <charset val="128"/>
    </font>
    <font>
      <b/>
      <sz val="9"/>
      <name val="ＭＳ Ｐ明朝"/>
      <family val="1"/>
      <charset val="128"/>
    </font>
    <font>
      <u/>
      <sz val="12"/>
      <name val="ＭＳ ゴシック"/>
      <family val="3"/>
      <charset val="128"/>
    </font>
    <font>
      <sz val="12"/>
      <color rgb="FFFF0000"/>
      <name val="明朝"/>
      <family val="1"/>
      <charset val="128"/>
    </font>
    <font>
      <sz val="10"/>
      <color rgb="FFFF0000"/>
      <name val="明朝"/>
      <family val="1"/>
      <charset val="128"/>
    </font>
    <font>
      <b/>
      <sz val="10"/>
      <color rgb="FF0000FF"/>
      <name val="明朝"/>
      <family val="1"/>
      <charset val="128"/>
    </font>
    <font>
      <sz val="10"/>
      <name val="ＭＳ Ｐゴシック"/>
      <family val="3"/>
      <charset val="128"/>
      <scheme val="major"/>
    </font>
    <font>
      <i/>
      <sz val="14"/>
      <color rgb="FFFF0000"/>
      <name val="ＭＳ ゴシック"/>
      <family val="3"/>
      <charset val="128"/>
    </font>
    <font>
      <b/>
      <sz val="10"/>
      <name val="ＭＳ ゴシック"/>
      <family val="3"/>
      <charset val="128"/>
    </font>
    <font>
      <sz val="10"/>
      <color rgb="FFF8F8F8"/>
      <name val="ＭＳ ゴシック"/>
      <family val="3"/>
      <charset val="128"/>
    </font>
    <font>
      <sz val="11"/>
      <name val="明朝"/>
      <family val="1"/>
      <charset val="128"/>
    </font>
    <font>
      <sz val="11"/>
      <color rgb="FFFF0000"/>
      <name val="ＭＳ Ｐ明朝"/>
      <family val="1"/>
      <charset val="128"/>
    </font>
    <font>
      <sz val="9"/>
      <name val="ＭＳ ゴシック"/>
      <family val="3"/>
      <charset val="128"/>
    </font>
    <font>
      <sz val="8"/>
      <name val="ＭＳ ゴシック"/>
      <family val="3"/>
      <charset val="128"/>
    </font>
  </fonts>
  <fills count="6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0" tint="-0.249977111117893"/>
        <bgColor indexed="64"/>
      </patternFill>
    </fill>
  </fills>
  <borders count="10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medium">
        <color indexed="64"/>
      </right>
      <top style="hair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  <border>
      <left/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/>
      <bottom/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thin">
        <color auto="1"/>
      </bottom>
      <diagonal/>
    </border>
    <border>
      <left style="hair">
        <color indexed="64"/>
      </left>
      <right style="hair">
        <color indexed="64"/>
      </right>
      <top/>
      <bottom style="thin">
        <color auto="1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/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medium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</borders>
  <cellStyleXfs count="6">
    <xf numFmtId="0" fontId="0" fillId="0" borderId="0"/>
    <xf numFmtId="9" fontId="1" fillId="0" borderId="0" applyFont="0" applyFill="0" applyBorder="0" applyAlignment="0" applyProtection="0"/>
    <xf numFmtId="0" fontId="10" fillId="0" borderId="0"/>
    <xf numFmtId="0" fontId="10" fillId="0" borderId="0"/>
    <xf numFmtId="38" fontId="18" fillId="0" borderId="0" applyFont="0" applyFill="0" applyBorder="0" applyAlignment="0" applyProtection="0">
      <alignment vertical="center"/>
    </xf>
    <xf numFmtId="38" fontId="10" fillId="0" borderId="0" applyFont="0" applyFill="0" applyBorder="0" applyAlignment="0" applyProtection="0">
      <alignment vertical="center"/>
    </xf>
  </cellStyleXfs>
  <cellXfs count="330">
    <xf numFmtId="0" fontId="0" fillId="0" borderId="0" xfId="0"/>
    <xf numFmtId="0" fontId="4" fillId="0" borderId="0" xfId="0" applyFont="1"/>
    <xf numFmtId="0" fontId="4" fillId="0" borderId="1" xfId="0" applyNumberFormat="1" applyFont="1" applyBorder="1" applyProtection="1">
      <protection locked="0"/>
    </xf>
    <xf numFmtId="181" fontId="6" fillId="0" borderId="2" xfId="0" applyNumberFormat="1" applyFont="1" applyBorder="1" applyProtection="1">
      <protection locked="0"/>
    </xf>
    <xf numFmtId="0" fontId="6" fillId="0" borderId="2" xfId="0" applyNumberFormat="1" applyFont="1" applyBorder="1" applyProtection="1">
      <protection locked="0"/>
    </xf>
    <xf numFmtId="0" fontId="4" fillId="0" borderId="2" xfId="0" applyNumberFormat="1" applyFont="1" applyBorder="1" applyProtection="1">
      <protection locked="0"/>
    </xf>
    <xf numFmtId="0" fontId="4" fillId="0" borderId="3" xfId="0" applyNumberFormat="1" applyFont="1" applyBorder="1" applyAlignment="1" applyProtection="1">
      <alignment horizontal="center"/>
      <protection locked="0"/>
    </xf>
    <xf numFmtId="0" fontId="4" fillId="0" borderId="4" xfId="0" applyNumberFormat="1" applyFont="1" applyBorder="1" applyAlignment="1" applyProtection="1">
      <alignment horizontal="center"/>
      <protection locked="0"/>
    </xf>
    <xf numFmtId="0" fontId="4" fillId="0" borderId="5" xfId="0" applyNumberFormat="1" applyFont="1" applyBorder="1" applyAlignment="1" applyProtection="1">
      <alignment horizontal="center"/>
      <protection locked="0"/>
    </xf>
    <xf numFmtId="0" fontId="4" fillId="0" borderId="6" xfId="0" applyNumberFormat="1" applyFont="1" applyBorder="1" applyAlignment="1" applyProtection="1">
      <alignment horizontal="center"/>
      <protection locked="0"/>
    </xf>
    <xf numFmtId="0" fontId="4" fillId="0" borderId="7" xfId="0" applyNumberFormat="1" applyFont="1" applyBorder="1" applyProtection="1">
      <protection locked="0"/>
    </xf>
    <xf numFmtId="0" fontId="4" fillId="0" borderId="8" xfId="0" applyNumberFormat="1" applyFont="1" applyBorder="1" applyAlignment="1" applyProtection="1">
      <alignment horizontal="center"/>
      <protection locked="0"/>
    </xf>
    <xf numFmtId="3" fontId="4" fillId="0" borderId="8" xfId="0" applyNumberFormat="1" applyFont="1" applyBorder="1" applyAlignment="1" applyProtection="1">
      <protection locked="0"/>
    </xf>
    <xf numFmtId="0" fontId="4" fillId="0" borderId="9" xfId="0" applyNumberFormat="1" applyFont="1" applyBorder="1" applyProtection="1">
      <protection locked="0"/>
    </xf>
    <xf numFmtId="3" fontId="4" fillId="0" borderId="8" xfId="0" applyNumberFormat="1" applyFont="1" applyBorder="1" applyAlignment="1" applyProtection="1">
      <alignment horizontal="right"/>
      <protection locked="0"/>
    </xf>
    <xf numFmtId="3" fontId="4" fillId="0" borderId="8" xfId="0" applyNumberFormat="1" applyFont="1" applyBorder="1" applyProtection="1">
      <protection locked="0"/>
    </xf>
    <xf numFmtId="0" fontId="4" fillId="0" borderId="0" xfId="0" applyFont="1" applyAlignment="1">
      <alignment horizontal="center"/>
    </xf>
    <xf numFmtId="0" fontId="4" fillId="0" borderId="10" xfId="0" applyNumberFormat="1" applyFont="1" applyBorder="1" applyProtection="1">
      <protection locked="0"/>
    </xf>
    <xf numFmtId="0" fontId="4" fillId="0" borderId="10" xfId="0" applyNumberFormat="1" applyFont="1" applyBorder="1" applyAlignment="1" applyProtection="1">
      <alignment horizontal="right"/>
      <protection locked="0"/>
    </xf>
    <xf numFmtId="0" fontId="4" fillId="0" borderId="0" xfId="0" applyFont="1" applyAlignment="1"/>
    <xf numFmtId="0" fontId="4" fillId="0" borderId="0" xfId="0" applyFont="1" applyBorder="1" applyAlignment="1">
      <alignment horizontal="right" vertical="top"/>
    </xf>
    <xf numFmtId="0" fontId="4" fillId="0" borderId="10" xfId="0" applyNumberFormat="1" applyFont="1" applyBorder="1" applyAlignment="1" applyProtection="1">
      <alignment horizontal="left" vertical="center" indent="2"/>
      <protection locked="0"/>
    </xf>
    <xf numFmtId="0" fontId="4" fillId="0" borderId="10" xfId="0" applyNumberFormat="1" applyFont="1" applyBorder="1" applyAlignment="1" applyProtection="1">
      <alignment horizontal="right" vertical="center"/>
      <protection locked="0"/>
    </xf>
    <xf numFmtId="0" fontId="4" fillId="0" borderId="0" xfId="0" applyNumberFormat="1" applyFont="1" applyBorder="1" applyAlignment="1" applyProtection="1">
      <alignment horizontal="right" vertical="center"/>
      <protection locked="0"/>
    </xf>
    <xf numFmtId="0" fontId="7" fillId="0" borderId="0" xfId="0" applyFont="1"/>
    <xf numFmtId="0" fontId="4" fillId="0" borderId="8" xfId="0" applyNumberFormat="1" applyFont="1" applyBorder="1" applyAlignment="1" applyProtection="1">
      <alignment horizontal="left"/>
      <protection locked="0"/>
    </xf>
    <xf numFmtId="0" fontId="4" fillId="0" borderId="11" xfId="0" applyNumberFormat="1" applyFont="1" applyBorder="1" applyAlignment="1" applyProtection="1">
      <alignment horizontal="center"/>
      <protection locked="0"/>
    </xf>
    <xf numFmtId="0" fontId="4" fillId="0" borderId="12" xfId="0" applyNumberFormat="1" applyFont="1" applyBorder="1" applyProtection="1">
      <protection locked="0"/>
    </xf>
    <xf numFmtId="0" fontId="4" fillId="0" borderId="12" xfId="0" applyNumberFormat="1" applyFont="1" applyBorder="1" applyAlignment="1" applyProtection="1">
      <alignment horizontal="center"/>
      <protection locked="0"/>
    </xf>
    <xf numFmtId="3" fontId="4" fillId="0" borderId="12" xfId="0" applyNumberFormat="1" applyFont="1" applyBorder="1" applyProtection="1">
      <protection locked="0"/>
    </xf>
    <xf numFmtId="0" fontId="4" fillId="0" borderId="0" xfId="0" applyFont="1" applyBorder="1" applyAlignment="1">
      <alignment horizontal="right"/>
    </xf>
    <xf numFmtId="180" fontId="6" fillId="0" borderId="0" xfId="0" applyNumberFormat="1" applyFont="1" applyAlignment="1">
      <alignment horizontal="center"/>
    </xf>
    <xf numFmtId="183" fontId="6" fillId="0" borderId="0" xfId="0" applyNumberFormat="1" applyFont="1" applyAlignment="1">
      <alignment horizontal="center"/>
    </xf>
    <xf numFmtId="0" fontId="4" fillId="0" borderId="0" xfId="0" applyNumberFormat="1" applyFont="1" applyBorder="1" applyProtection="1">
      <protection locked="0"/>
    </xf>
    <xf numFmtId="0" fontId="6" fillId="0" borderId="0" xfId="0" applyNumberFormat="1" applyFont="1" applyBorder="1" applyAlignment="1" applyProtection="1">
      <alignment horizontal="center"/>
      <protection locked="0"/>
    </xf>
    <xf numFmtId="0" fontId="4" fillId="0" borderId="0" xfId="0" applyNumberFormat="1" applyFont="1" applyBorder="1" applyAlignment="1" applyProtection="1">
      <alignment horizontal="left" vertical="center" indent="2"/>
      <protection locked="0"/>
    </xf>
    <xf numFmtId="0" fontId="4" fillId="0" borderId="0" xfId="0" applyFont="1" applyBorder="1"/>
    <xf numFmtId="0" fontId="7" fillId="0" borderId="13" xfId="0" applyNumberFormat="1" applyFont="1" applyBorder="1" applyProtection="1">
      <protection locked="0"/>
    </xf>
    <xf numFmtId="0" fontId="4" fillId="0" borderId="14" xfId="0" applyNumberFormat="1" applyFont="1" applyBorder="1" applyAlignment="1" applyProtection="1">
      <alignment horizontal="center"/>
      <protection locked="0"/>
    </xf>
    <xf numFmtId="0" fontId="4" fillId="0" borderId="15" xfId="0" applyFont="1" applyBorder="1"/>
    <xf numFmtId="0" fontId="4" fillId="0" borderId="10" xfId="0" applyFont="1" applyBorder="1"/>
    <xf numFmtId="0" fontId="4" fillId="0" borderId="16" xfId="0" applyNumberFormat="1" applyFont="1" applyBorder="1" applyAlignment="1" applyProtection="1">
      <protection locked="0"/>
    </xf>
    <xf numFmtId="0" fontId="4" fillId="0" borderId="17" xfId="0" applyNumberFormat="1" applyFont="1" applyBorder="1" applyAlignment="1" applyProtection="1">
      <protection locked="0"/>
    </xf>
    <xf numFmtId="0" fontId="4" fillId="0" borderId="18" xfId="0" applyNumberFormat="1" applyFont="1" applyBorder="1" applyAlignment="1" applyProtection="1">
      <protection locked="0"/>
    </xf>
    <xf numFmtId="186" fontId="4" fillId="0" borderId="19" xfId="0" applyNumberFormat="1" applyFont="1" applyBorder="1" applyAlignment="1" applyProtection="1">
      <protection locked="0"/>
    </xf>
    <xf numFmtId="186" fontId="4" fillId="0" borderId="20" xfId="0" applyNumberFormat="1" applyFont="1" applyBorder="1" applyAlignment="1" applyProtection="1">
      <protection locked="0"/>
    </xf>
    <xf numFmtId="186" fontId="4" fillId="0" borderId="7" xfId="0" applyNumberFormat="1" applyFont="1" applyBorder="1" applyAlignment="1" applyProtection="1">
      <protection locked="0"/>
    </xf>
    <xf numFmtId="186" fontId="4" fillId="0" borderId="8" xfId="0" applyNumberFormat="1" applyFont="1" applyBorder="1" applyAlignment="1" applyProtection="1">
      <protection locked="0"/>
    </xf>
    <xf numFmtId="186" fontId="4" fillId="0" borderId="21" xfId="0" applyNumberFormat="1" applyFont="1" applyBorder="1" applyAlignment="1" applyProtection="1">
      <protection locked="0"/>
    </xf>
    <xf numFmtId="186" fontId="4" fillId="0" borderId="22" xfId="0" applyNumberFormat="1" applyFont="1" applyBorder="1" applyAlignment="1" applyProtection="1">
      <protection locked="0"/>
    </xf>
    <xf numFmtId="186" fontId="4" fillId="0" borderId="23" xfId="0" applyNumberFormat="1" applyFont="1" applyBorder="1" applyAlignment="1" applyProtection="1">
      <protection locked="0"/>
    </xf>
    <xf numFmtId="0" fontId="13" fillId="0" borderId="0" xfId="2" applyFont="1" applyAlignment="1">
      <alignment horizontal="left"/>
    </xf>
    <xf numFmtId="0" fontId="4" fillId="0" borderId="24" xfId="0" applyNumberFormat="1" applyFont="1" applyBorder="1" applyAlignment="1" applyProtection="1">
      <alignment horizontal="left"/>
      <protection locked="0"/>
    </xf>
    <xf numFmtId="0" fontId="15" fillId="0" borderId="0" xfId="0" applyFont="1" applyAlignment="1">
      <alignment horizontal="center" vertical="top"/>
    </xf>
    <xf numFmtId="0" fontId="15" fillId="0" borderId="0" xfId="0" applyFont="1" applyAlignment="1">
      <alignment vertical="top"/>
    </xf>
    <xf numFmtId="0" fontId="5" fillId="0" borderId="0" xfId="0" applyFont="1"/>
    <xf numFmtId="0" fontId="5" fillId="0" borderId="0" xfId="0" applyFont="1" applyAlignment="1">
      <alignment horizontal="center"/>
    </xf>
    <xf numFmtId="0" fontId="7" fillId="0" borderId="0" xfId="0" applyFont="1" applyAlignment="1">
      <alignment vertical="center"/>
    </xf>
    <xf numFmtId="0" fontId="7" fillId="0" borderId="0" xfId="0" applyFont="1" applyAlignment="1">
      <alignment horizontal="right"/>
    </xf>
    <xf numFmtId="184" fontId="6" fillId="0" borderId="0" xfId="0" applyNumberFormat="1" applyFont="1" applyBorder="1" applyAlignment="1">
      <alignment horizontal="center"/>
    </xf>
    <xf numFmtId="0" fontId="7" fillId="0" borderId="0" xfId="0" applyNumberFormat="1" applyFont="1" applyBorder="1" applyProtection="1">
      <protection locked="0"/>
    </xf>
    <xf numFmtId="0" fontId="4" fillId="0" borderId="0" xfId="0" applyNumberFormat="1" applyFont="1" applyBorder="1" applyAlignment="1" applyProtection="1">
      <alignment horizontal="center" shrinkToFit="1"/>
      <protection locked="0"/>
    </xf>
    <xf numFmtId="0" fontId="4" fillId="0" borderId="0" xfId="0" applyNumberFormat="1" applyFont="1" applyBorder="1" applyAlignment="1" applyProtection="1">
      <alignment horizontal="center"/>
      <protection locked="0"/>
    </xf>
    <xf numFmtId="3" fontId="4" fillId="0" borderId="0" xfId="0" applyNumberFormat="1" applyFont="1" applyBorder="1" applyProtection="1">
      <protection locked="0"/>
    </xf>
    <xf numFmtId="0" fontId="4" fillId="0" borderId="0" xfId="0" applyNumberFormat="1" applyFont="1" applyBorder="1" applyAlignment="1" applyProtection="1">
      <protection locked="0"/>
    </xf>
    <xf numFmtId="186" fontId="4" fillId="0" borderId="0" xfId="0" applyNumberFormat="1" applyFont="1" applyBorder="1" applyAlignment="1" applyProtection="1">
      <protection locked="0"/>
    </xf>
    <xf numFmtId="188" fontId="6" fillId="0" borderId="0" xfId="0" applyNumberFormat="1" applyFont="1" applyAlignment="1">
      <alignment horizontal="center"/>
    </xf>
    <xf numFmtId="189" fontId="6" fillId="0" borderId="1" xfId="0" applyNumberFormat="1" applyFont="1" applyBorder="1" applyAlignment="1">
      <alignment horizontal="center"/>
    </xf>
    <xf numFmtId="0" fontId="4" fillId="0" borderId="25" xfId="0" applyNumberFormat="1" applyFont="1" applyBorder="1" applyAlignment="1" applyProtection="1">
      <alignment horizontal="center"/>
      <protection locked="0"/>
    </xf>
    <xf numFmtId="0" fontId="17" fillId="0" borderId="0" xfId="0" applyFont="1" applyBorder="1" applyAlignment="1">
      <alignment horizontal="center" vertical="top"/>
    </xf>
    <xf numFmtId="0" fontId="4" fillId="0" borderId="26" xfId="0" applyNumberFormat="1" applyFont="1" applyBorder="1" applyAlignment="1" applyProtection="1">
      <alignment horizontal="center"/>
      <protection locked="0"/>
    </xf>
    <xf numFmtId="179" fontId="4" fillId="0" borderId="7" xfId="0" applyNumberFormat="1" applyFont="1" applyBorder="1" applyProtection="1">
      <protection locked="0"/>
    </xf>
    <xf numFmtId="186" fontId="4" fillId="0" borderId="29" xfId="0" applyNumberFormat="1" applyFont="1" applyBorder="1" applyAlignment="1" applyProtection="1">
      <protection locked="0"/>
    </xf>
    <xf numFmtId="190" fontId="7" fillId="0" borderId="0" xfId="0" applyNumberFormat="1" applyFont="1"/>
    <xf numFmtId="0" fontId="4" fillId="0" borderId="31" xfId="3" applyNumberFormat="1" applyFont="1" applyBorder="1" applyAlignment="1" applyProtection="1">
      <alignment horizontal="center" shrinkToFit="1"/>
      <protection locked="0"/>
    </xf>
    <xf numFmtId="0" fontId="4" fillId="0" borderId="32" xfId="3" applyNumberFormat="1" applyFont="1" applyBorder="1" applyAlignment="1" applyProtection="1">
      <alignment horizontal="center" shrinkToFit="1"/>
      <protection locked="0"/>
    </xf>
    <xf numFmtId="3" fontId="4" fillId="0" borderId="31" xfId="3" applyNumberFormat="1" applyFont="1" applyBorder="1" applyProtection="1">
      <protection locked="0"/>
    </xf>
    <xf numFmtId="3" fontId="4" fillId="0" borderId="32" xfId="3" applyNumberFormat="1" applyFont="1" applyBorder="1" applyProtection="1">
      <protection locked="0"/>
    </xf>
    <xf numFmtId="0" fontId="6" fillId="0" borderId="35" xfId="0" applyNumberFormat="1" applyFont="1" applyBorder="1" applyAlignment="1" applyProtection="1">
      <alignment horizontal="right"/>
      <protection locked="0"/>
    </xf>
    <xf numFmtId="0" fontId="4" fillId="0" borderId="36" xfId="0" applyNumberFormat="1" applyFont="1" applyBorder="1" applyProtection="1">
      <protection locked="0"/>
    </xf>
    <xf numFmtId="0" fontId="4" fillId="0" borderId="37" xfId="0" applyNumberFormat="1" applyFont="1" applyBorder="1" applyAlignment="1" applyProtection="1">
      <alignment horizontal="left"/>
      <protection locked="0"/>
    </xf>
    <xf numFmtId="0" fontId="4" fillId="0" borderId="38" xfId="0" applyNumberFormat="1" applyFont="1" applyBorder="1" applyAlignment="1" applyProtection="1">
      <alignment horizontal="center"/>
      <protection locked="0"/>
    </xf>
    <xf numFmtId="0" fontId="4" fillId="0" borderId="37" xfId="0" applyNumberFormat="1" applyFont="1" applyBorder="1" applyAlignment="1" applyProtection="1">
      <alignment horizontal="center"/>
      <protection locked="0"/>
    </xf>
    <xf numFmtId="3" fontId="4" fillId="0" borderId="37" xfId="0" applyNumberFormat="1" applyFont="1" applyBorder="1" applyAlignment="1" applyProtection="1">
      <protection locked="0"/>
    </xf>
    <xf numFmtId="0" fontId="4" fillId="0" borderId="39" xfId="0" applyNumberFormat="1" applyFont="1" applyBorder="1" applyProtection="1">
      <protection locked="0"/>
    </xf>
    <xf numFmtId="0" fontId="4" fillId="0" borderId="40" xfId="0" applyNumberFormat="1" applyFont="1" applyBorder="1" applyAlignment="1" applyProtection="1">
      <alignment horizontal="center"/>
      <protection locked="0"/>
    </xf>
    <xf numFmtId="0" fontId="7" fillId="0" borderId="12" xfId="0" applyNumberFormat="1" applyFont="1" applyBorder="1" applyAlignment="1" applyProtection="1">
      <alignment horizontal="center"/>
      <protection locked="0"/>
    </xf>
    <xf numFmtId="0" fontId="4" fillId="0" borderId="41" xfId="0" applyNumberFormat="1" applyFont="1" applyBorder="1" applyProtection="1">
      <protection locked="0"/>
    </xf>
    <xf numFmtId="0" fontId="4" fillId="0" borderId="40" xfId="0" applyNumberFormat="1" applyFont="1" applyBorder="1" applyAlignment="1" applyProtection="1">
      <alignment horizontal="left"/>
      <protection locked="0"/>
    </xf>
    <xf numFmtId="3" fontId="4" fillId="0" borderId="40" xfId="0" applyNumberFormat="1" applyFont="1" applyBorder="1" applyAlignment="1" applyProtection="1">
      <protection locked="0"/>
    </xf>
    <xf numFmtId="0" fontId="4" fillId="0" borderId="42" xfId="0" applyNumberFormat="1" applyFont="1" applyBorder="1" applyProtection="1">
      <protection locked="0"/>
    </xf>
    <xf numFmtId="3" fontId="4" fillId="0" borderId="40" xfId="0" applyNumberFormat="1" applyFont="1" applyBorder="1" applyProtection="1">
      <protection locked="0"/>
    </xf>
    <xf numFmtId="191" fontId="18" fillId="0" borderId="42" xfId="1" applyNumberFormat="1" applyFont="1" applyBorder="1" applyAlignment="1">
      <alignment horizontal="center"/>
    </xf>
    <xf numFmtId="0" fontId="7" fillId="0" borderId="40" xfId="0" applyNumberFormat="1" applyFont="1" applyBorder="1" applyAlignment="1" applyProtection="1">
      <alignment horizontal="center"/>
      <protection locked="0"/>
    </xf>
    <xf numFmtId="0" fontId="4" fillId="0" borderId="19" xfId="0" applyNumberFormat="1" applyFont="1" applyBorder="1" applyProtection="1">
      <protection locked="0"/>
    </xf>
    <xf numFmtId="0" fontId="4" fillId="0" borderId="20" xfId="0" applyNumberFormat="1" applyFont="1" applyBorder="1" applyAlignment="1" applyProtection="1">
      <alignment horizontal="left"/>
      <protection locked="0"/>
    </xf>
    <xf numFmtId="0" fontId="4" fillId="0" borderId="20" xfId="0" applyNumberFormat="1" applyFont="1" applyBorder="1" applyAlignment="1" applyProtection="1">
      <alignment horizontal="center"/>
      <protection locked="0"/>
    </xf>
    <xf numFmtId="3" fontId="4" fillId="0" borderId="20" xfId="0" applyNumberFormat="1" applyFont="1" applyBorder="1" applyAlignment="1" applyProtection="1">
      <protection locked="0"/>
    </xf>
    <xf numFmtId="0" fontId="7" fillId="0" borderId="20" xfId="0" applyNumberFormat="1" applyFont="1" applyBorder="1" applyProtection="1">
      <protection locked="0"/>
    </xf>
    <xf numFmtId="178" fontId="4" fillId="0" borderId="43" xfId="0" applyNumberFormat="1" applyFont="1" applyBorder="1" applyAlignment="1" applyProtection="1">
      <alignment horizontal="center"/>
      <protection locked="0"/>
    </xf>
    <xf numFmtId="0" fontId="4" fillId="0" borderId="19" xfId="0" applyNumberFormat="1" applyFont="1" applyBorder="1" applyAlignment="1" applyProtection="1">
      <alignment horizontal="center"/>
      <protection locked="0"/>
    </xf>
    <xf numFmtId="0" fontId="7" fillId="0" borderId="20" xfId="0" applyNumberFormat="1" applyFont="1" applyBorder="1" applyAlignment="1" applyProtection="1">
      <alignment horizontal="center"/>
      <protection locked="0"/>
    </xf>
    <xf numFmtId="176" fontId="4" fillId="0" borderId="20" xfId="0" applyNumberFormat="1" applyFont="1" applyBorder="1" applyAlignment="1" applyProtection="1">
      <alignment horizontal="center"/>
      <protection locked="0"/>
    </xf>
    <xf numFmtId="3" fontId="4" fillId="0" borderId="20" xfId="0" applyNumberFormat="1" applyFont="1" applyBorder="1" applyProtection="1">
      <protection locked="0"/>
    </xf>
    <xf numFmtId="0" fontId="7" fillId="0" borderId="0" xfId="0" applyFont="1" applyAlignment="1">
      <alignment horizontal="center" vertical="center"/>
    </xf>
    <xf numFmtId="192" fontId="4" fillId="0" borderId="0" xfId="0" applyNumberFormat="1" applyFont="1" applyAlignment="1">
      <alignment horizontal="center"/>
    </xf>
    <xf numFmtId="3" fontId="4" fillId="0" borderId="26" xfId="3" applyNumberFormat="1" applyFont="1" applyBorder="1" applyAlignment="1" applyProtection="1">
      <alignment horizontal="center"/>
      <protection locked="0"/>
    </xf>
    <xf numFmtId="0" fontId="4" fillId="0" borderId="45" xfId="0" applyNumberFormat="1" applyFont="1" applyBorder="1" applyAlignment="1" applyProtection="1">
      <alignment horizontal="center"/>
      <protection locked="0"/>
    </xf>
    <xf numFmtId="186" fontId="4" fillId="0" borderId="46" xfId="0" applyNumberFormat="1" applyFont="1" applyBorder="1" applyAlignment="1" applyProtection="1">
      <protection locked="0"/>
    </xf>
    <xf numFmtId="179" fontId="4" fillId="0" borderId="9" xfId="0" applyNumberFormat="1" applyFont="1" applyBorder="1" applyProtection="1">
      <protection locked="0"/>
    </xf>
    <xf numFmtId="179" fontId="4" fillId="0" borderId="46" xfId="0" applyNumberFormat="1" applyFont="1" applyBorder="1" applyProtection="1">
      <protection locked="0"/>
    </xf>
    <xf numFmtId="179" fontId="4" fillId="0" borderId="27" xfId="0" applyNumberFormat="1" applyFont="1" applyBorder="1" applyProtection="1">
      <protection locked="0"/>
    </xf>
    <xf numFmtId="0" fontId="4" fillId="0" borderId="47" xfId="0" applyNumberFormat="1" applyFont="1" applyBorder="1" applyAlignment="1" applyProtection="1">
      <alignment shrinkToFit="1"/>
      <protection locked="0"/>
    </xf>
    <xf numFmtId="0" fontId="4" fillId="0" borderId="48" xfId="0" applyNumberFormat="1" applyFont="1" applyBorder="1" applyAlignment="1" applyProtection="1">
      <alignment shrinkToFit="1"/>
      <protection locked="0"/>
    </xf>
    <xf numFmtId="186" fontId="4" fillId="0" borderId="49" xfId="0" applyNumberFormat="1" applyFont="1" applyBorder="1" applyAlignment="1" applyProtection="1">
      <protection locked="0"/>
    </xf>
    <xf numFmtId="179" fontId="4" fillId="0" borderId="50" xfId="0" applyNumberFormat="1" applyFont="1" applyBorder="1" applyProtection="1">
      <protection locked="0"/>
    </xf>
    <xf numFmtId="179" fontId="4" fillId="0" borderId="49" xfId="0" applyNumberFormat="1" applyFont="1" applyBorder="1" applyProtection="1">
      <protection locked="0"/>
    </xf>
    <xf numFmtId="179" fontId="4" fillId="0" borderId="28" xfId="0" applyNumberFormat="1" applyFont="1" applyBorder="1" applyProtection="1">
      <protection locked="0"/>
    </xf>
    <xf numFmtId="0" fontId="4" fillId="0" borderId="51" xfId="0" applyNumberFormat="1" applyFont="1" applyBorder="1" applyAlignment="1" applyProtection="1">
      <alignment shrinkToFit="1"/>
      <protection locked="0"/>
    </xf>
    <xf numFmtId="186" fontId="4" fillId="0" borderId="52" xfId="0" applyNumberFormat="1" applyFont="1" applyBorder="1" applyAlignment="1" applyProtection="1">
      <protection locked="0"/>
    </xf>
    <xf numFmtId="179" fontId="4" fillId="0" borderId="53" xfId="0" applyNumberFormat="1" applyFont="1" applyBorder="1" applyProtection="1">
      <protection locked="0"/>
    </xf>
    <xf numFmtId="179" fontId="4" fillId="0" borderId="52" xfId="0" applyNumberFormat="1" applyFont="1" applyBorder="1" applyProtection="1">
      <protection locked="0"/>
    </xf>
    <xf numFmtId="179" fontId="4" fillId="0" borderId="54" xfId="0" applyNumberFormat="1" applyFont="1" applyBorder="1" applyProtection="1">
      <protection locked="0"/>
    </xf>
    <xf numFmtId="0" fontId="4" fillId="0" borderId="55" xfId="0" applyNumberFormat="1" applyFont="1" applyBorder="1" applyProtection="1">
      <protection locked="0"/>
    </xf>
    <xf numFmtId="0" fontId="19" fillId="0" borderId="0" xfId="0" applyFont="1"/>
    <xf numFmtId="177" fontId="4" fillId="0" borderId="43" xfId="1" applyNumberFormat="1" applyFont="1" applyBorder="1" applyAlignment="1" applyProtection="1">
      <alignment horizontal="center" shrinkToFit="1"/>
      <protection locked="0"/>
    </xf>
    <xf numFmtId="178" fontId="4" fillId="0" borderId="43" xfId="0" applyNumberFormat="1" applyFont="1" applyBorder="1" applyAlignment="1" applyProtection="1">
      <alignment horizontal="center" shrinkToFit="1"/>
      <protection locked="0"/>
    </xf>
    <xf numFmtId="182" fontId="4" fillId="0" borderId="0" xfId="0" applyNumberFormat="1" applyFont="1"/>
    <xf numFmtId="0" fontId="7" fillId="0" borderId="0" xfId="0" applyFont="1" applyAlignment="1">
      <alignment horizontal="center"/>
    </xf>
    <xf numFmtId="14" fontId="4" fillId="0" borderId="0" xfId="0" applyNumberFormat="1" applyFont="1"/>
    <xf numFmtId="0" fontId="7" fillId="0" borderId="0" xfId="0" applyFont="1" applyAlignment="1"/>
    <xf numFmtId="0" fontId="7" fillId="0" borderId="0" xfId="0" applyNumberFormat="1" applyFont="1"/>
    <xf numFmtId="0" fontId="14" fillId="0" borderId="0" xfId="2" applyNumberFormat="1" applyFont="1" applyBorder="1" applyAlignment="1">
      <alignment horizontal="left"/>
    </xf>
    <xf numFmtId="0" fontId="22" fillId="0" borderId="0" xfId="0" applyFont="1" applyAlignment="1">
      <alignment horizontal="center"/>
    </xf>
    <xf numFmtId="0" fontId="4" fillId="0" borderId="60" xfId="0" applyFont="1" applyBorder="1"/>
    <xf numFmtId="0" fontId="4" fillId="0" borderId="61" xfId="3" applyNumberFormat="1" applyFont="1" applyBorder="1" applyAlignment="1" applyProtection="1">
      <alignment horizontal="center" shrinkToFit="1"/>
      <protection locked="0"/>
    </xf>
    <xf numFmtId="0" fontId="4" fillId="0" borderId="30" xfId="0" applyNumberFormat="1" applyFont="1" applyBorder="1" applyProtection="1">
      <protection locked="0"/>
    </xf>
    <xf numFmtId="3" fontId="4" fillId="0" borderId="61" xfId="3" applyNumberFormat="1" applyFont="1" applyBorder="1" applyProtection="1">
      <protection locked="0"/>
    </xf>
    <xf numFmtId="186" fontId="4" fillId="0" borderId="62" xfId="0" applyNumberFormat="1" applyFont="1" applyBorder="1" applyAlignment="1" applyProtection="1">
      <protection locked="0"/>
    </xf>
    <xf numFmtId="186" fontId="4" fillId="0" borderId="63" xfId="0" applyNumberFormat="1" applyFont="1" applyBorder="1" applyAlignment="1" applyProtection="1">
      <protection locked="0"/>
    </xf>
    <xf numFmtId="186" fontId="4" fillId="0" borderId="64" xfId="0" applyNumberFormat="1" applyFont="1" applyBorder="1" applyAlignment="1" applyProtection="1">
      <protection locked="0"/>
    </xf>
    <xf numFmtId="186" fontId="4" fillId="0" borderId="65" xfId="0" applyNumberFormat="1" applyFont="1" applyBorder="1" applyAlignment="1" applyProtection="1">
      <protection locked="0"/>
    </xf>
    <xf numFmtId="0" fontId="4" fillId="0" borderId="32" xfId="0" applyFont="1" applyBorder="1" applyAlignment="1">
      <alignment horizontal="center"/>
    </xf>
    <xf numFmtId="0" fontId="22" fillId="0" borderId="0" xfId="0" applyFont="1" applyAlignment="1"/>
    <xf numFmtId="192" fontId="4" fillId="0" borderId="0" xfId="0" applyNumberFormat="1" applyFont="1" applyAlignment="1">
      <alignment horizontal="distributed"/>
    </xf>
    <xf numFmtId="0" fontId="4" fillId="0" borderId="0" xfId="0" applyFont="1" applyBorder="1" applyAlignment="1">
      <alignment horizontal="center"/>
    </xf>
    <xf numFmtId="0" fontId="23" fillId="0" borderId="0" xfId="0" applyFont="1" applyAlignment="1">
      <alignment horizontal="center"/>
    </xf>
    <xf numFmtId="0" fontId="7" fillId="0" borderId="32" xfId="0" applyFont="1" applyBorder="1" applyAlignment="1">
      <alignment horizontal="center"/>
    </xf>
    <xf numFmtId="0" fontId="22" fillId="0" borderId="32" xfId="0" applyFont="1" applyBorder="1" applyAlignment="1">
      <alignment horizontal="center"/>
    </xf>
    <xf numFmtId="0" fontId="24" fillId="0" borderId="0" xfId="0" applyFont="1" applyAlignment="1"/>
    <xf numFmtId="0" fontId="24" fillId="0" borderId="0" xfId="0" applyFont="1" applyAlignment="1">
      <alignment horizontal="center"/>
    </xf>
    <xf numFmtId="9" fontId="4" fillId="0" borderId="0" xfId="1" applyFont="1" applyAlignment="1">
      <alignment horizontal="center"/>
    </xf>
    <xf numFmtId="0" fontId="4" fillId="0" borderId="9" xfId="0" applyNumberFormat="1" applyFont="1" applyBorder="1" applyAlignment="1" applyProtection="1">
      <protection locked="0"/>
    </xf>
    <xf numFmtId="0" fontId="4" fillId="0" borderId="43" xfId="0" applyNumberFormat="1" applyFont="1" applyBorder="1" applyAlignment="1" applyProtection="1">
      <protection locked="0"/>
    </xf>
    <xf numFmtId="0" fontId="4" fillId="0" borderId="9" xfId="0" applyNumberFormat="1" applyFont="1" applyBorder="1" applyAlignment="1" applyProtection="1">
      <alignment shrinkToFit="1"/>
      <protection locked="0"/>
    </xf>
    <xf numFmtId="0" fontId="4" fillId="0" borderId="42" xfId="0" applyNumberFormat="1" applyFont="1" applyBorder="1" applyAlignment="1" applyProtection="1">
      <protection locked="0"/>
    </xf>
    <xf numFmtId="3" fontId="4" fillId="0" borderId="37" xfId="0" applyNumberFormat="1" applyFont="1" applyBorder="1" applyProtection="1">
      <protection locked="0"/>
    </xf>
    <xf numFmtId="3" fontId="4" fillId="0" borderId="40" xfId="0" applyNumberFormat="1" applyFont="1" applyBorder="1" applyAlignment="1" applyProtection="1">
      <alignment horizontal="right"/>
      <protection locked="0"/>
    </xf>
    <xf numFmtId="0" fontId="4" fillId="0" borderId="7" xfId="0" applyNumberFormat="1" applyFont="1" applyBorder="1" applyAlignment="1" applyProtection="1">
      <protection locked="0"/>
    </xf>
    <xf numFmtId="185" fontId="4" fillId="0" borderId="48" xfId="0" applyNumberFormat="1" applyFont="1" applyBorder="1" applyAlignment="1" applyProtection="1">
      <alignment shrinkToFit="1"/>
      <protection locked="0"/>
    </xf>
    <xf numFmtId="186" fontId="4" fillId="0" borderId="20" xfId="0" applyNumberFormat="1" applyFont="1" applyFill="1" applyBorder="1" applyAlignment="1" applyProtection="1">
      <protection locked="0"/>
    </xf>
    <xf numFmtId="186" fontId="4" fillId="0" borderId="8" xfId="0" applyNumberFormat="1" applyFont="1" applyFill="1" applyBorder="1" applyAlignment="1" applyProtection="1">
      <protection locked="0"/>
    </xf>
    <xf numFmtId="3" fontId="4" fillId="0" borderId="8" xfId="0" applyNumberFormat="1" applyFont="1" applyFill="1" applyBorder="1" applyAlignment="1" applyProtection="1">
      <protection locked="0"/>
    </xf>
    <xf numFmtId="0" fontId="25" fillId="0" borderId="3" xfId="0" applyFont="1" applyBorder="1" applyAlignment="1">
      <alignment horizontal="center"/>
    </xf>
    <xf numFmtId="0" fontId="25" fillId="0" borderId="66" xfId="0" applyFont="1" applyBorder="1" applyAlignment="1">
      <alignment horizontal="center"/>
    </xf>
    <xf numFmtId="0" fontId="25" fillId="0" borderId="67" xfId="0" applyFont="1" applyBorder="1" applyAlignment="1">
      <alignment horizontal="center"/>
    </xf>
    <xf numFmtId="0" fontId="25" fillId="0" borderId="2" xfId="0" applyFont="1" applyBorder="1" applyAlignment="1">
      <alignment horizontal="center"/>
    </xf>
    <xf numFmtId="0" fontId="25" fillId="0" borderId="68" xfId="0" applyFont="1" applyBorder="1" applyAlignment="1">
      <alignment horizontal="center"/>
    </xf>
    <xf numFmtId="0" fontId="25" fillId="0" borderId="69" xfId="0" applyFont="1" applyBorder="1" applyAlignment="1">
      <alignment horizontal="center"/>
    </xf>
    <xf numFmtId="0" fontId="25" fillId="0" borderId="70" xfId="0" applyFont="1" applyBorder="1" applyAlignment="1">
      <alignment horizontal="distributed" vertical="center"/>
    </xf>
    <xf numFmtId="193" fontId="17" fillId="0" borderId="72" xfId="4" applyNumberFormat="1" applyFont="1" applyBorder="1">
      <alignment vertical="center"/>
    </xf>
    <xf numFmtId="0" fontId="25" fillId="0" borderId="74" xfId="0" applyFont="1" applyBorder="1" applyAlignment="1">
      <alignment horizontal="center"/>
    </xf>
    <xf numFmtId="0" fontId="25" fillId="0" borderId="75" xfId="0" applyFont="1" applyBorder="1" applyAlignment="1">
      <alignment horizontal="distributed"/>
    </xf>
    <xf numFmtId="193" fontId="17" fillId="0" borderId="73" xfId="4" applyNumberFormat="1" applyFont="1" applyBorder="1">
      <alignment vertical="center"/>
    </xf>
    <xf numFmtId="194" fontId="27" fillId="2" borderId="76" xfId="0" applyNumberFormat="1" applyFont="1" applyFill="1" applyBorder="1"/>
    <xf numFmtId="3" fontId="28" fillId="2" borderId="73" xfId="0" applyNumberFormat="1" applyFont="1" applyFill="1" applyBorder="1"/>
    <xf numFmtId="0" fontId="0" fillId="0" borderId="73" xfId="0" applyBorder="1"/>
    <xf numFmtId="0" fontId="25" fillId="0" borderId="26" xfId="0" applyFont="1" applyBorder="1" applyAlignment="1">
      <alignment horizontal="center"/>
    </xf>
    <xf numFmtId="0" fontId="25" fillId="0" borderId="77" xfId="0" applyFont="1" applyBorder="1" applyAlignment="1">
      <alignment horizontal="distributed"/>
    </xf>
    <xf numFmtId="0" fontId="25" fillId="0" borderId="78" xfId="0" applyFont="1" applyBorder="1" applyAlignment="1">
      <alignment horizontal="distributed"/>
    </xf>
    <xf numFmtId="193" fontId="17" fillId="0" borderId="80" xfId="4" applyNumberFormat="1" applyFont="1" applyBorder="1">
      <alignment vertical="center"/>
    </xf>
    <xf numFmtId="0" fontId="25" fillId="0" borderId="52" xfId="0" applyFont="1" applyBorder="1" applyAlignment="1">
      <alignment horizontal="center"/>
    </xf>
    <xf numFmtId="0" fontId="25" fillId="0" borderId="81" xfId="0" applyFont="1" applyBorder="1" applyAlignment="1">
      <alignment horizontal="distributed"/>
    </xf>
    <xf numFmtId="193" fontId="17" fillId="0" borderId="83" xfId="4" applyNumberFormat="1" applyFont="1" applyBorder="1">
      <alignment vertical="center"/>
    </xf>
    <xf numFmtId="3" fontId="28" fillId="2" borderId="76" xfId="0" applyNumberFormat="1" applyFont="1" applyFill="1" applyBorder="1"/>
    <xf numFmtId="194" fontId="27" fillId="2" borderId="73" xfId="0" applyNumberFormat="1" applyFont="1" applyFill="1" applyBorder="1"/>
    <xf numFmtId="0" fontId="0" fillId="0" borderId="76" xfId="0" applyBorder="1"/>
    <xf numFmtId="0" fontId="27" fillId="3" borderId="0" xfId="0" applyFont="1" applyFill="1" applyAlignment="1">
      <alignment horizontal="center"/>
    </xf>
    <xf numFmtId="0" fontId="30" fillId="0" borderId="0" xfId="0" applyFont="1"/>
    <xf numFmtId="0" fontId="31" fillId="0" borderId="0" xfId="0" applyFont="1"/>
    <xf numFmtId="41" fontId="31" fillId="0" borderId="0" xfId="0" applyNumberFormat="1" applyFont="1"/>
    <xf numFmtId="0" fontId="30" fillId="0" borderId="32" xfId="0" applyFont="1" applyBorder="1" applyAlignment="1">
      <alignment vertical="center" shrinkToFit="1"/>
    </xf>
    <xf numFmtId="0" fontId="30" fillId="0" borderId="32" xfId="0" applyFont="1" applyBorder="1" applyAlignment="1">
      <alignment vertical="center"/>
    </xf>
    <xf numFmtId="0" fontId="32" fillId="0" borderId="32" xfId="0" applyFont="1" applyBorder="1" applyAlignment="1">
      <alignment vertical="center" wrapText="1" shrinkToFit="1"/>
    </xf>
    <xf numFmtId="41" fontId="31" fillId="0" borderId="32" xfId="0" applyNumberFormat="1" applyFont="1" applyBorder="1"/>
    <xf numFmtId="38" fontId="34" fillId="4" borderId="73" xfId="4" applyFont="1" applyFill="1" applyBorder="1" applyAlignment="1"/>
    <xf numFmtId="0" fontId="25" fillId="0" borderId="84" xfId="0" applyFont="1" applyBorder="1" applyAlignment="1">
      <alignment horizontal="distributed"/>
    </xf>
    <xf numFmtId="0" fontId="25" fillId="0" borderId="76" xfId="0" applyFont="1" applyBorder="1" applyAlignment="1">
      <alignment horizontal="distributed"/>
    </xf>
    <xf numFmtId="0" fontId="25" fillId="0" borderId="79" xfId="0" applyFont="1" applyBorder="1" applyAlignment="1">
      <alignment horizontal="distributed"/>
    </xf>
    <xf numFmtId="0" fontId="25" fillId="0" borderId="85" xfId="0" applyFont="1" applyBorder="1" applyAlignment="1">
      <alignment horizontal="center"/>
    </xf>
    <xf numFmtId="194" fontId="35" fillId="0" borderId="0" xfId="0" applyNumberFormat="1" applyFont="1"/>
    <xf numFmtId="195" fontId="35" fillId="0" borderId="73" xfId="4" applyNumberFormat="1" applyFont="1" applyFill="1" applyBorder="1" applyAlignment="1"/>
    <xf numFmtId="0" fontId="0" fillId="0" borderId="79" xfId="0" applyBorder="1"/>
    <xf numFmtId="194" fontId="27" fillId="2" borderId="80" xfId="0" applyNumberFormat="1" applyFont="1" applyFill="1" applyBorder="1"/>
    <xf numFmtId="194" fontId="35" fillId="0" borderId="88" xfId="0" applyNumberFormat="1" applyFont="1" applyBorder="1"/>
    <xf numFmtId="0" fontId="36" fillId="0" borderId="89" xfId="0" applyFont="1" applyBorder="1" applyAlignment="1">
      <alignment horizontal="center"/>
    </xf>
    <xf numFmtId="0" fontId="37" fillId="0" borderId="0" xfId="0" applyFont="1"/>
    <xf numFmtId="0" fontId="31" fillId="0" borderId="32" xfId="0" applyFont="1" applyBorder="1" applyAlignment="1">
      <alignment horizontal="center"/>
    </xf>
    <xf numFmtId="0" fontId="4" fillId="0" borderId="90" xfId="0" applyNumberFormat="1" applyFont="1" applyBorder="1" applyAlignment="1" applyProtection="1">
      <alignment horizontal="center"/>
      <protection locked="0"/>
    </xf>
    <xf numFmtId="186" fontId="4" fillId="0" borderId="91" xfId="0" applyNumberFormat="1" applyFont="1" applyBorder="1" applyAlignment="1" applyProtection="1">
      <protection locked="0"/>
    </xf>
    <xf numFmtId="179" fontId="4" fillId="0" borderId="95" xfId="0" applyNumberFormat="1" applyFont="1" applyBorder="1" applyProtection="1">
      <protection locked="0"/>
    </xf>
    <xf numFmtId="179" fontId="4" fillId="0" borderId="93" xfId="0" applyNumberFormat="1" applyFont="1" applyBorder="1" applyProtection="1">
      <protection locked="0"/>
    </xf>
    <xf numFmtId="0" fontId="4" fillId="0" borderId="96" xfId="0" applyNumberFormat="1" applyFont="1" applyBorder="1" applyProtection="1">
      <protection locked="0"/>
    </xf>
    <xf numFmtId="0" fontId="4" fillId="0" borderId="33" xfId="0" applyFont="1" applyBorder="1"/>
    <xf numFmtId="0" fontId="4" fillId="0" borderId="34" xfId="0" applyFont="1" applyBorder="1"/>
    <xf numFmtId="0" fontId="4" fillId="0" borderId="44" xfId="0" applyNumberFormat="1" applyFont="1" applyBorder="1" applyProtection="1">
      <protection locked="0"/>
    </xf>
    <xf numFmtId="192" fontId="4" fillId="0" borderId="0" xfId="0" applyNumberFormat="1" applyFont="1" applyBorder="1" applyAlignment="1">
      <alignment horizontal="center"/>
    </xf>
    <xf numFmtId="3" fontId="4" fillId="0" borderId="40" xfId="0" applyNumberFormat="1" applyFont="1" applyFill="1" applyBorder="1" applyAlignment="1" applyProtection="1">
      <protection locked="0"/>
    </xf>
    <xf numFmtId="0" fontId="4" fillId="0" borderId="0" xfId="0" applyFont="1" applyBorder="1" applyAlignment="1">
      <alignment vertical="top" wrapText="1"/>
    </xf>
    <xf numFmtId="0" fontId="4" fillId="0" borderId="0" xfId="0" applyFont="1" applyBorder="1" applyAlignment="1">
      <alignment horizontal="center" vertical="top" wrapText="1"/>
    </xf>
    <xf numFmtId="0" fontId="4" fillId="0" borderId="0" xfId="0" applyFont="1" applyAlignment="1">
      <alignment horizontal="center" vertical="center"/>
    </xf>
    <xf numFmtId="0" fontId="4" fillId="0" borderId="1" xfId="0" applyNumberFormat="1" applyFont="1" applyBorder="1" applyAlignment="1" applyProtection="1">
      <alignment horizontal="center" vertical="center"/>
      <protection locked="0"/>
    </xf>
    <xf numFmtId="0" fontId="4" fillId="0" borderId="2" xfId="0" applyNumberFormat="1" applyFont="1" applyBorder="1" applyAlignment="1" applyProtection="1">
      <alignment horizontal="center" vertical="center"/>
      <protection locked="0"/>
    </xf>
    <xf numFmtId="0" fontId="4" fillId="0" borderId="56" xfId="0" applyNumberFormat="1" applyFont="1" applyBorder="1" applyProtection="1">
      <protection locked="0"/>
    </xf>
    <xf numFmtId="0" fontId="4" fillId="0" borderId="41" xfId="0" applyNumberFormat="1" applyFont="1" applyBorder="1" applyAlignment="1" applyProtection="1">
      <alignment horizontal="left" indent="1"/>
      <protection locked="0"/>
    </xf>
    <xf numFmtId="0" fontId="4" fillId="0" borderId="7" xfId="0" applyNumberFormat="1" applyFont="1" applyBorder="1" applyAlignment="1" applyProtection="1">
      <alignment horizontal="left" indent="2"/>
      <protection locked="0"/>
    </xf>
    <xf numFmtId="0" fontId="4" fillId="0" borderId="97" xfId="0" applyNumberFormat="1" applyFont="1" applyBorder="1" applyAlignment="1" applyProtection="1">
      <alignment horizontal="center"/>
      <protection locked="0"/>
    </xf>
    <xf numFmtId="0" fontId="7" fillId="0" borderId="98" xfId="0" applyNumberFormat="1" applyFont="1" applyBorder="1" applyProtection="1">
      <protection locked="0"/>
    </xf>
    <xf numFmtId="0" fontId="4" fillId="0" borderId="87" xfId="0" applyNumberFormat="1" applyFont="1" applyBorder="1" applyAlignment="1" applyProtection="1">
      <alignment horizontal="center"/>
      <protection locked="0"/>
    </xf>
    <xf numFmtId="0" fontId="4" fillId="0" borderId="22" xfId="0" applyNumberFormat="1" applyFont="1" applyBorder="1" applyAlignment="1" applyProtection="1">
      <alignment horizontal="center"/>
      <protection locked="0"/>
    </xf>
    <xf numFmtId="0" fontId="4" fillId="0" borderId="29" xfId="0" applyNumberFormat="1" applyFont="1" applyBorder="1" applyAlignment="1" applyProtection="1">
      <alignment horizontal="center"/>
      <protection locked="0"/>
    </xf>
    <xf numFmtId="0" fontId="7" fillId="0" borderId="99" xfId="0" applyNumberFormat="1" applyFont="1" applyBorder="1" applyProtection="1">
      <protection locked="0"/>
    </xf>
    <xf numFmtId="0" fontId="4" fillId="0" borderId="43" xfId="0" applyNumberFormat="1" applyFont="1" applyBorder="1" applyAlignment="1" applyProtection="1">
      <alignment horizontal="center"/>
      <protection locked="0"/>
    </xf>
    <xf numFmtId="0" fontId="4" fillId="0" borderId="9" xfId="0" applyNumberFormat="1" applyFont="1" applyBorder="1" applyAlignment="1" applyProtection="1">
      <alignment horizontal="center"/>
      <protection locked="0"/>
    </xf>
    <xf numFmtId="0" fontId="4" fillId="0" borderId="50" xfId="0" applyNumberFormat="1" applyFont="1" applyBorder="1" applyAlignment="1" applyProtection="1">
      <alignment horizontal="center"/>
      <protection locked="0"/>
    </xf>
    <xf numFmtId="0" fontId="4" fillId="0" borderId="100" xfId="0" applyNumberFormat="1" applyFont="1" applyBorder="1" applyAlignment="1" applyProtection="1">
      <alignment horizontal="center"/>
      <protection locked="0"/>
    </xf>
    <xf numFmtId="186" fontId="4" fillId="0" borderId="101" xfId="0" applyNumberFormat="1" applyFont="1" applyBorder="1" applyAlignment="1" applyProtection="1">
      <protection locked="0"/>
    </xf>
    <xf numFmtId="0" fontId="4" fillId="0" borderId="15" xfId="0" applyFont="1" applyBorder="1" applyAlignment="1">
      <alignment horizontal="right"/>
    </xf>
    <xf numFmtId="196" fontId="4" fillId="0" borderId="60" xfId="0" applyNumberFormat="1" applyFont="1" applyBorder="1" applyAlignment="1">
      <alignment horizontal="center"/>
    </xf>
    <xf numFmtId="196" fontId="4" fillId="0" borderId="34" xfId="0" applyNumberFormat="1" applyFont="1" applyBorder="1" applyAlignment="1">
      <alignment horizontal="center"/>
    </xf>
    <xf numFmtId="0" fontId="4" fillId="0" borderId="102" xfId="0" applyFont="1" applyBorder="1"/>
    <xf numFmtId="0" fontId="4" fillId="0" borderId="103" xfId="0" applyFont="1" applyBorder="1"/>
    <xf numFmtId="0" fontId="38" fillId="0" borderId="0" xfId="0" applyFont="1"/>
    <xf numFmtId="0" fontId="4" fillId="0" borderId="0" xfId="0" applyFont="1" applyBorder="1" applyAlignment="1">
      <alignment shrinkToFit="1"/>
    </xf>
    <xf numFmtId="0" fontId="4" fillId="0" borderId="0" xfId="0" applyFont="1" applyAlignment="1">
      <alignment shrinkToFit="1"/>
    </xf>
    <xf numFmtId="0" fontId="39" fillId="0" borderId="0" xfId="0" applyFont="1" applyAlignment="1">
      <alignment horizontal="center" shrinkToFit="1"/>
    </xf>
    <xf numFmtId="0" fontId="4" fillId="0" borderId="32" xfId="0" applyFont="1" applyBorder="1" applyAlignment="1">
      <alignment horizontal="right"/>
    </xf>
    <xf numFmtId="0" fontId="4" fillId="0" borderId="32" xfId="0" applyFont="1" applyBorder="1"/>
    <xf numFmtId="182" fontId="4" fillId="0" borderId="32" xfId="0" applyNumberFormat="1" applyFont="1" applyBorder="1"/>
    <xf numFmtId="0" fontId="40" fillId="0" borderId="0" xfId="0" applyFont="1" applyBorder="1" applyAlignment="1">
      <alignment horizontal="right" vertical="top" wrapText="1"/>
    </xf>
    <xf numFmtId="3" fontId="34" fillId="4" borderId="73" xfId="0" applyNumberFormat="1" applyFont="1" applyFill="1" applyBorder="1"/>
    <xf numFmtId="41" fontId="31" fillId="0" borderId="104" xfId="0" applyNumberFormat="1" applyFont="1" applyBorder="1" applyAlignment="1">
      <alignment horizontal="center"/>
    </xf>
    <xf numFmtId="41" fontId="31" fillId="0" borderId="32" xfId="0" applyNumberFormat="1" applyFont="1" applyBorder="1" applyAlignment="1">
      <alignment horizontal="center"/>
    </xf>
    <xf numFmtId="41" fontId="31" fillId="0" borderId="104" xfId="0" applyNumberFormat="1" applyFont="1" applyBorder="1"/>
    <xf numFmtId="41" fontId="41" fillId="0" borderId="104" xfId="0" applyNumberFormat="1" applyFont="1" applyBorder="1"/>
    <xf numFmtId="41" fontId="41" fillId="0" borderId="32" xfId="0" applyNumberFormat="1" applyFont="1" applyBorder="1"/>
    <xf numFmtId="41" fontId="42" fillId="0" borderId="105" xfId="0" applyNumberFormat="1" applyFont="1" applyBorder="1"/>
    <xf numFmtId="41" fontId="42" fillId="0" borderId="32" xfId="0" applyNumberFormat="1" applyFont="1" applyBorder="1"/>
    <xf numFmtId="3" fontId="4" fillId="0" borderId="91" xfId="0" applyNumberFormat="1" applyFont="1" applyBorder="1" applyAlignment="1" applyProtection="1">
      <protection locked="0"/>
    </xf>
    <xf numFmtId="3" fontId="4" fillId="0" borderId="92" xfId="0" applyNumberFormat="1" applyFont="1" applyBorder="1" applyAlignment="1" applyProtection="1">
      <protection locked="0"/>
    </xf>
    <xf numFmtId="3" fontId="4" fillId="0" borderId="94" xfId="0" applyNumberFormat="1" applyFont="1" applyBorder="1" applyAlignment="1" applyProtection="1">
      <protection locked="0"/>
    </xf>
    <xf numFmtId="0" fontId="33" fillId="0" borderId="0" xfId="0" applyFont="1" applyBorder="1" applyAlignment="1">
      <alignment horizontal="center" vertical="top" wrapText="1"/>
    </xf>
    <xf numFmtId="0" fontId="2" fillId="0" borderId="0" xfId="0" applyFont="1" applyAlignment="1">
      <alignment horizontal="distributed" vertical="center"/>
    </xf>
    <xf numFmtId="187" fontId="15" fillId="0" borderId="0" xfId="0" applyNumberFormat="1" applyFont="1" applyAlignment="1">
      <alignment horizontal="center" vertical="top"/>
    </xf>
    <xf numFmtId="0" fontId="16" fillId="0" borderId="0" xfId="0" applyFont="1" applyBorder="1" applyAlignment="1">
      <alignment horizontal="distributed"/>
    </xf>
    <xf numFmtId="0" fontId="16" fillId="0" borderId="0" xfId="0" applyFont="1" applyBorder="1" applyAlignment="1">
      <alignment horizontal="distributed" vertical="top" indent="3"/>
    </xf>
    <xf numFmtId="0" fontId="31" fillId="0" borderId="105" xfId="0" applyFont="1" applyBorder="1" applyAlignment="1">
      <alignment horizontal="center"/>
    </xf>
    <xf numFmtId="41" fontId="31" fillId="0" borderId="105" xfId="0" applyNumberFormat="1" applyFont="1" applyBorder="1"/>
    <xf numFmtId="0" fontId="7" fillId="0" borderId="2" xfId="0" applyNumberFormat="1" applyFont="1" applyBorder="1" applyAlignment="1" applyProtection="1">
      <alignment horizontal="center" vertical="center"/>
      <protection locked="0"/>
    </xf>
    <xf numFmtId="181" fontId="6" fillId="0" borderId="2" xfId="0" applyNumberFormat="1" applyFont="1" applyBorder="1" applyAlignment="1" applyProtection="1">
      <alignment horizontal="right"/>
      <protection locked="0"/>
    </xf>
    <xf numFmtId="0" fontId="7" fillId="0" borderId="56" xfId="0" applyNumberFormat="1" applyFont="1" applyBorder="1" applyProtection="1">
      <protection locked="0"/>
    </xf>
    <xf numFmtId="0" fontId="4" fillId="0" borderId="8" xfId="0" applyNumberFormat="1" applyFont="1" applyFill="1" applyBorder="1" applyAlignment="1" applyProtection="1">
      <alignment horizontal="center"/>
      <protection locked="0"/>
    </xf>
    <xf numFmtId="3" fontId="4" fillId="0" borderId="8" xfId="0" applyNumberFormat="1" applyFont="1" applyFill="1" applyBorder="1" applyAlignment="1" applyProtection="1">
      <alignment horizontal="right"/>
      <protection locked="0"/>
    </xf>
    <xf numFmtId="3" fontId="4" fillId="0" borderId="8" xfId="0" applyNumberFormat="1" applyFont="1" applyFill="1" applyBorder="1" applyProtection="1">
      <protection locked="0"/>
    </xf>
    <xf numFmtId="0" fontId="4" fillId="0" borderId="9" xfId="0" applyNumberFormat="1" applyFont="1" applyBorder="1" applyAlignment="1" applyProtection="1">
      <alignment horizontal="center" shrinkToFit="1"/>
      <protection locked="0"/>
    </xf>
    <xf numFmtId="177" fontId="4" fillId="0" borderId="9" xfId="1" applyNumberFormat="1" applyFont="1" applyBorder="1" applyAlignment="1" applyProtection="1">
      <alignment horizontal="center" shrinkToFit="1"/>
      <protection locked="0"/>
    </xf>
    <xf numFmtId="0" fontId="4" fillId="0" borderId="8" xfId="0" applyNumberFormat="1" applyFont="1" applyFill="1" applyBorder="1" applyProtection="1">
      <protection locked="0"/>
    </xf>
    <xf numFmtId="191" fontId="18" fillId="0" borderId="9" xfId="1" applyNumberFormat="1" applyFont="1" applyBorder="1" applyAlignment="1">
      <alignment horizontal="center"/>
    </xf>
    <xf numFmtId="0" fontId="7" fillId="0" borderId="8" xfId="0" applyNumberFormat="1" applyFont="1" applyBorder="1" applyProtection="1">
      <protection locked="0"/>
    </xf>
    <xf numFmtId="178" fontId="4" fillId="0" borderId="9" xfId="0" applyNumberFormat="1" applyFont="1" applyBorder="1" applyAlignment="1" applyProtection="1">
      <alignment horizontal="center" shrinkToFit="1"/>
      <protection locked="0"/>
    </xf>
    <xf numFmtId="0" fontId="4" fillId="0" borderId="107" xfId="0" applyNumberFormat="1" applyFont="1" applyBorder="1" applyAlignment="1" applyProtection="1">
      <alignment horizontal="center"/>
      <protection locked="0"/>
    </xf>
    <xf numFmtId="0" fontId="7" fillId="0" borderId="107" xfId="0" applyNumberFormat="1" applyFont="1" applyBorder="1" applyAlignment="1" applyProtection="1">
      <alignment horizontal="center"/>
      <protection locked="0"/>
    </xf>
    <xf numFmtId="0" fontId="4" fillId="0" borderId="107" xfId="0" applyNumberFormat="1" applyFont="1" applyFill="1" applyBorder="1" applyAlignment="1" applyProtection="1">
      <alignment horizontal="center"/>
      <protection locked="0"/>
    </xf>
    <xf numFmtId="3" fontId="4" fillId="0" borderId="107" xfId="0" applyNumberFormat="1" applyFont="1" applyFill="1" applyBorder="1" applyProtection="1">
      <protection locked="0"/>
    </xf>
    <xf numFmtId="3" fontId="4" fillId="0" borderId="107" xfId="0" applyNumberFormat="1" applyFont="1" applyBorder="1" applyAlignment="1" applyProtection="1">
      <protection locked="0"/>
    </xf>
    <xf numFmtId="0" fontId="4" fillId="0" borderId="108" xfId="0" applyNumberFormat="1" applyFont="1" applyBorder="1" applyProtection="1">
      <protection locked="0"/>
    </xf>
    <xf numFmtId="0" fontId="4" fillId="0" borderId="36" xfId="0" applyNumberFormat="1" applyFont="1" applyBorder="1" applyAlignment="1" applyProtection="1">
      <protection locked="0"/>
    </xf>
    <xf numFmtId="0" fontId="4" fillId="0" borderId="7" xfId="0" applyNumberFormat="1" applyFont="1" applyBorder="1" applyAlignment="1" applyProtection="1">
      <alignment wrapText="1"/>
      <protection locked="0"/>
    </xf>
    <xf numFmtId="0" fontId="4" fillId="0" borderId="106" xfId="0" applyNumberFormat="1" applyFont="1" applyBorder="1" applyAlignment="1" applyProtection="1">
      <protection locked="0"/>
    </xf>
    <xf numFmtId="38" fontId="4" fillId="0" borderId="37" xfId="5" applyFont="1" applyFill="1" applyBorder="1" applyAlignment="1" applyProtection="1">
      <protection locked="0"/>
    </xf>
    <xf numFmtId="3" fontId="25" fillId="0" borderId="71" xfId="0" applyNumberFormat="1" applyFont="1" applyBorder="1"/>
    <xf numFmtId="3" fontId="25" fillId="0" borderId="72" xfId="0" applyNumberFormat="1" applyFont="1" applyBorder="1"/>
    <xf numFmtId="3" fontId="25" fillId="0" borderId="73" xfId="0" applyNumberFormat="1" applyFont="1" applyBorder="1"/>
    <xf numFmtId="3" fontId="25" fillId="0" borderId="76" xfId="0" applyNumberFormat="1" applyFont="1" applyBorder="1"/>
    <xf numFmtId="3" fontId="25" fillId="0" borderId="80" xfId="0" applyNumberFormat="1" applyFont="1" applyBorder="1"/>
    <xf numFmtId="3" fontId="25" fillId="0" borderId="79" xfId="0" applyNumberFormat="1" applyFont="1" applyBorder="1"/>
    <xf numFmtId="3" fontId="25" fillId="0" borderId="82" xfId="0" applyNumberFormat="1" applyFont="1" applyBorder="1"/>
    <xf numFmtId="3" fontId="25" fillId="0" borderId="83" xfId="0" applyNumberFormat="1" applyFont="1" applyBorder="1"/>
    <xf numFmtId="0" fontId="25" fillId="0" borderId="38" xfId="0" applyFont="1" applyBorder="1" applyAlignment="1">
      <alignment horizontal="distributed"/>
    </xf>
    <xf numFmtId="194" fontId="27" fillId="0" borderId="73" xfId="0" applyNumberFormat="1" applyFont="1" applyBorder="1"/>
    <xf numFmtId="0" fontId="25" fillId="0" borderId="86" xfId="0" applyFont="1" applyBorder="1" applyAlignment="1">
      <alignment horizontal="distributed"/>
    </xf>
    <xf numFmtId="0" fontId="25" fillId="0" borderId="87" xfId="0" applyFont="1" applyBorder="1" applyAlignment="1">
      <alignment horizontal="distributed"/>
    </xf>
    <xf numFmtId="194" fontId="27" fillId="0" borderId="80" xfId="0" applyNumberFormat="1" applyFont="1" applyBorder="1"/>
    <xf numFmtId="0" fontId="30" fillId="0" borderId="0" xfId="0" applyFont="1" applyAlignment="1">
      <alignment vertical="center"/>
    </xf>
    <xf numFmtId="41" fontId="41" fillId="0" borderId="0" xfId="0" applyNumberFormat="1" applyFont="1"/>
    <xf numFmtId="38" fontId="4" fillId="0" borderId="0" xfId="5" applyFont="1" applyAlignment="1"/>
    <xf numFmtId="0" fontId="16" fillId="0" borderId="0" xfId="0" applyFont="1" applyAlignment="1">
      <alignment horizontal="center" vertical="center"/>
    </xf>
    <xf numFmtId="0" fontId="17" fillId="0" borderId="0" xfId="0" applyFont="1" applyAlignment="1">
      <alignment horizontal="center" vertical="top"/>
    </xf>
    <xf numFmtId="0" fontId="4" fillId="0" borderId="16" xfId="0" applyNumberFormat="1" applyFont="1" applyBorder="1" applyAlignment="1" applyProtection="1">
      <alignment horizontal="left" indent="2"/>
      <protection locked="0"/>
    </xf>
    <xf numFmtId="0" fontId="43" fillId="0" borderId="16" xfId="0" applyNumberFormat="1" applyFont="1" applyBorder="1" applyAlignment="1" applyProtection="1">
      <alignment horizontal="left" indent="2"/>
      <protection locked="0"/>
    </xf>
    <xf numFmtId="0" fontId="44" fillId="0" borderId="16" xfId="0" applyNumberFormat="1" applyFont="1" applyBorder="1" applyAlignment="1" applyProtection="1">
      <alignment horizontal="left" indent="2"/>
      <protection locked="0"/>
    </xf>
    <xf numFmtId="0" fontId="4" fillId="5" borderId="8" xfId="0" applyNumberFormat="1" applyFont="1" applyFill="1" applyBorder="1" applyAlignment="1" applyProtection="1">
      <alignment horizontal="center"/>
      <protection locked="0"/>
    </xf>
    <xf numFmtId="0" fontId="4" fillId="5" borderId="9" xfId="0" applyNumberFormat="1" applyFont="1" applyFill="1" applyBorder="1" applyAlignment="1" applyProtection="1">
      <alignment horizontal="center"/>
      <protection locked="0"/>
    </xf>
    <xf numFmtId="186" fontId="4" fillId="5" borderId="7" xfId="0" applyNumberFormat="1" applyFont="1" applyFill="1" applyBorder="1" applyAlignment="1" applyProtection="1">
      <protection locked="0"/>
    </xf>
    <xf numFmtId="186" fontId="4" fillId="5" borderId="8" xfId="0" applyNumberFormat="1" applyFont="1" applyFill="1" applyBorder="1" applyAlignment="1" applyProtection="1">
      <protection locked="0"/>
    </xf>
    <xf numFmtId="186" fontId="4" fillId="5" borderId="63" xfId="0" applyNumberFormat="1" applyFont="1" applyFill="1" applyBorder="1" applyAlignment="1" applyProtection="1">
      <protection locked="0"/>
    </xf>
    <xf numFmtId="179" fontId="4" fillId="5" borderId="9" xfId="0" applyNumberFormat="1" applyFont="1" applyFill="1" applyBorder="1" applyProtection="1">
      <protection locked="0"/>
    </xf>
    <xf numFmtId="179" fontId="4" fillId="5" borderId="7" xfId="0" applyNumberFormat="1" applyFont="1" applyFill="1" applyBorder="1" applyProtection="1">
      <protection locked="0"/>
    </xf>
    <xf numFmtId="0" fontId="4" fillId="5" borderId="48" xfId="0" applyNumberFormat="1" applyFont="1" applyFill="1" applyBorder="1" applyAlignment="1" applyProtection="1">
      <alignment shrinkToFit="1"/>
      <protection locked="0"/>
    </xf>
    <xf numFmtId="0" fontId="33" fillId="0" borderId="0" xfId="0" applyFont="1" applyBorder="1" applyAlignment="1">
      <alignment horizontal="center" vertical="top" wrapText="1"/>
    </xf>
    <xf numFmtId="0" fontId="4" fillId="0" borderId="0" xfId="0" applyFont="1" applyFill="1" applyBorder="1" applyAlignment="1">
      <alignment vertical="top" wrapText="1"/>
    </xf>
    <xf numFmtId="0" fontId="2" fillId="0" borderId="0" xfId="0" applyFont="1" applyAlignment="1">
      <alignment horizontal="distributed" vertical="center"/>
    </xf>
    <xf numFmtId="187" fontId="15" fillId="0" borderId="0" xfId="0" applyNumberFormat="1" applyFont="1" applyAlignment="1">
      <alignment horizontal="center" vertical="top"/>
    </xf>
    <xf numFmtId="0" fontId="16" fillId="0" borderId="0" xfId="0" applyFont="1" applyBorder="1" applyAlignment="1">
      <alignment horizontal="distributed"/>
    </xf>
    <xf numFmtId="0" fontId="16" fillId="0" borderId="0" xfId="0" applyFont="1" applyBorder="1" applyAlignment="1">
      <alignment horizontal="distributed" vertical="top" indent="3"/>
    </xf>
    <xf numFmtId="0" fontId="4" fillId="0" borderId="57" xfId="0" applyFont="1" applyBorder="1" applyAlignment="1">
      <alignment shrinkToFit="1"/>
    </xf>
    <xf numFmtId="0" fontId="4" fillId="0" borderId="58" xfId="3" applyNumberFormat="1" applyFont="1" applyBorder="1" applyAlignment="1" applyProtection="1">
      <alignment horizontal="center" shrinkToFit="1"/>
      <protection locked="0"/>
    </xf>
    <xf numFmtId="0" fontId="4" fillId="0" borderId="59" xfId="3" applyNumberFormat="1" applyFont="1" applyBorder="1" applyAlignment="1" applyProtection="1">
      <alignment horizontal="center" shrinkToFit="1"/>
      <protection locked="0"/>
    </xf>
    <xf numFmtId="0" fontId="4" fillId="0" borderId="58" xfId="0" applyNumberFormat="1" applyFont="1" applyBorder="1" applyAlignment="1" applyProtection="1">
      <alignment horizontal="center"/>
      <protection locked="0"/>
    </xf>
    <xf numFmtId="0" fontId="4" fillId="0" borderId="59" xfId="0" applyNumberFormat="1" applyFont="1" applyBorder="1" applyAlignment="1" applyProtection="1">
      <alignment horizontal="center"/>
      <protection locked="0"/>
    </xf>
  </cellXfs>
  <cellStyles count="6">
    <cellStyle name="パーセント" xfId="1" builtinId="5"/>
    <cellStyle name="桁区切り" xfId="5" builtinId="6"/>
    <cellStyle name="桁区切り 2" xfId="4" xr:uid="{00000000-0005-0000-0000-000002000000}"/>
    <cellStyle name="標準" xfId="0" builtinId="0"/>
    <cellStyle name="標準_見積DUMY" xfId="2" xr:uid="{00000000-0005-0000-0000-000004000000}"/>
    <cellStyle name="標準_表紙" xfId="3" xr:uid="{00000000-0005-0000-0000-000005000000}"/>
  </cellStyles>
  <dxfs count="9">
    <dxf>
      <border>
        <top style="thin">
          <color indexed="64"/>
        </top>
      </border>
    </dxf>
    <dxf>
      <font>
        <condense val="0"/>
        <extend val="0"/>
        <color indexed="9"/>
      </font>
    </dxf>
    <dxf>
      <border>
        <top style="thin">
          <color indexed="64"/>
        </top>
      </border>
    </dxf>
    <dxf>
      <font>
        <condense val="0"/>
        <extend val="0"/>
        <color indexed="9"/>
      </font>
    </dxf>
    <dxf>
      <font>
        <condense val="0"/>
        <extend val="0"/>
        <color indexed="15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  <mruColors>
      <color rgb="FFFFFFCC"/>
      <color rgb="FFFFFF99"/>
      <color rgb="FFF8F8F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895350</xdr:colOff>
      <xdr:row>25</xdr:row>
      <xdr:rowOff>53340</xdr:rowOff>
    </xdr:from>
    <xdr:to>
      <xdr:col>7</xdr:col>
      <xdr:colOff>83820</xdr:colOff>
      <xdr:row>25</xdr:row>
      <xdr:rowOff>215265</xdr:rowOff>
    </xdr:to>
    <xdr:pic>
      <xdr:nvPicPr>
        <xdr:cNvPr id="2" name="Picture 69" descr="yecロゴ３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219170" y="5768340"/>
          <a:ext cx="32385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30</xdr:row>
      <xdr:rowOff>64770</xdr:rowOff>
    </xdr:from>
    <xdr:to>
      <xdr:col>8</xdr:col>
      <xdr:colOff>323850</xdr:colOff>
      <xdr:row>30</xdr:row>
      <xdr:rowOff>226695</xdr:rowOff>
    </xdr:to>
    <xdr:pic>
      <xdr:nvPicPr>
        <xdr:cNvPr id="3" name="Picture 77" descr="yecロゴ３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239470" y="6922770"/>
          <a:ext cx="32385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6</xdr:col>
      <xdr:colOff>895350</xdr:colOff>
      <xdr:row>25</xdr:row>
      <xdr:rowOff>53340</xdr:rowOff>
    </xdr:from>
    <xdr:ext cx="323850" cy="161925"/>
    <xdr:pic>
      <xdr:nvPicPr>
        <xdr:cNvPr id="4" name="Picture 69" descr="yecロゴ３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219170" y="5768340"/>
          <a:ext cx="32385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3810</xdr:colOff>
      <xdr:row>30</xdr:row>
      <xdr:rowOff>74295</xdr:rowOff>
    </xdr:from>
    <xdr:to>
      <xdr:col>13</xdr:col>
      <xdr:colOff>334010</xdr:colOff>
      <xdr:row>31</xdr:row>
      <xdr:rowOff>7620</xdr:rowOff>
    </xdr:to>
    <xdr:pic>
      <xdr:nvPicPr>
        <xdr:cNvPr id="3" name="Picture 77" descr="yecロゴ３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09660" y="6932295"/>
          <a:ext cx="32385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942975</xdr:colOff>
      <xdr:row>26</xdr:row>
      <xdr:rowOff>66675</xdr:rowOff>
    </xdr:from>
    <xdr:to>
      <xdr:col>7</xdr:col>
      <xdr:colOff>161925</xdr:colOff>
      <xdr:row>27</xdr:row>
      <xdr:rowOff>0</xdr:rowOff>
    </xdr:to>
    <xdr:pic>
      <xdr:nvPicPr>
        <xdr:cNvPr id="2" name="Picture 69" descr="yecロゴ３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19950" y="5857875"/>
          <a:ext cx="32385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Relationship Id="rId4" Type="http://schemas.openxmlformats.org/officeDocument/2006/relationships/comments" Target="../comments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0"/>
  <sheetViews>
    <sheetView showGridLines="0" showZeros="0" view="pageBreakPreview" zoomScaleNormal="100" workbookViewId="0">
      <selection activeCell="H13" sqref="H13"/>
    </sheetView>
  </sheetViews>
  <sheetFormatPr defaultColWidth="9" defaultRowHeight="18" customHeight="1"/>
  <cols>
    <col min="1" max="1" width="25.69921875" style="1" customWidth="1"/>
    <col min="2" max="2" width="14.3984375" style="1" customWidth="1"/>
    <col min="3" max="3" width="56.09765625" style="1" customWidth="1"/>
    <col min="4" max="4" width="22.69921875" style="1" customWidth="1"/>
    <col min="5" max="5" width="23.3984375" style="1" customWidth="1"/>
    <col min="6" max="16384" width="9" style="1"/>
  </cols>
  <sheetData>
    <row r="1" spans="1:5" ht="18" customHeight="1">
      <c r="A1" s="53"/>
      <c r="B1" s="53"/>
      <c r="C1" s="54" t="s">
        <v>192</v>
      </c>
      <c r="D1" s="322">
        <v>45846</v>
      </c>
      <c r="E1" s="322"/>
    </row>
    <row r="3" spans="1:5" ht="18" customHeight="1">
      <c r="A3" s="51"/>
      <c r="B3" s="51"/>
      <c r="E3" s="144">
        <f>IF(A34=1,"平成　　年　　月　　日",IF(A34=2,"平成 "&amp;YEAR(D1+A33)-1988&amp;"年　　月　　日",IF(A34=3,"平成 "&amp;YEAR(D1+A33)-1988&amp;"年 "&amp;MONTH(D1+A33)&amp;"月　　日",$D$1+A33)))</f>
        <v>45846</v>
      </c>
    </row>
    <row r="4" spans="1:5" ht="18" customHeight="1">
      <c r="A4" s="55" t="str">
        <f>IF(LEFT($C1,1)="大","大阪府",IF(LEFT($C1,1)="京","京都府",IF(LEFT($C1,1)="兵","兵庫県",IF(LEFT($C1,1)="福","福井県",IF(LEFT($C1,1)="滋","滋賀県",IF(LEFT($C1,1)="奈","奈良県",IF(LEFT($C1,1)="和","和歌山県",IF(LEFT($C$1,1)="国","国土交通省　近畿地方整備局","直接入力"))))))))</f>
        <v>奈良県</v>
      </c>
      <c r="B4" s="55"/>
    </row>
    <row r="5" spans="1:5" ht="18" customHeight="1">
      <c r="A5" s="132" t="str">
        <f>IF(A27&lt;&gt;1,"    "&amp;MID(C1,3,50)&amp;B28&amp;B29&amp;B30&amp;B31&amp;B34&amp;"　"&amp;$A29&amp;"　"&amp;B36,IF(LEFT($C$1,1)="和","　　和歌山県知事　"&amp;$A29&amp;"　殿",IF(LEFT($C$1,1)="滋","　　滋賀県知事　"&amp;$A29&amp;"　殿",IF(LEFT($C$1,1)="兵","　　兵庫県知事　"&amp;$A29&amp;"　殿",IF(LEFT($C$1,1)="奈","　　奈良県知事　"&amp;$A29&amp;"　殿",IF(LEFT($C$1,1)="福","　　福井県知事　"&amp;$A$29&amp;"　殿",IF(LEFT($C$1,1)="京","　　京都府知事　"&amp;$A$29&amp;"　殿")))))))</f>
        <v xml:space="preserve">    中和土木事務所長　　殿</v>
      </c>
      <c r="B5" s="132"/>
    </row>
    <row r="7" spans="1:5" ht="18" customHeight="1">
      <c r="C7" s="30"/>
      <c r="D7" s="323" t="str">
        <f>IF(LEFT($C1,1)="滋","大津市京町4丁目5番13号",IF(LEFT($C1,1)="兵","神戸市中央区御幸通6丁目1番15号",IF(LEFT($C1,1)="福","福井市生部町5丁目17番2号",IF(LEFT($C1,1)="奈","奈良市内侍原町6番地",IF(LEFT($C1,1)="和","和歌山県和歌山市太田1-6-13","大阪市中央区城見1丁目4番70号")))))</f>
        <v>奈良市内侍原町6番地</v>
      </c>
      <c r="E7" s="323"/>
    </row>
    <row r="8" spans="1:5" ht="18" customHeight="1">
      <c r="C8" s="30"/>
      <c r="D8" s="323" t="s">
        <v>18</v>
      </c>
      <c r="E8" s="323"/>
    </row>
    <row r="9" spans="1:5" ht="18" customHeight="1">
      <c r="C9" s="20"/>
      <c r="D9" s="324" t="str">
        <f>IF(LEFT($C1,1)="滋","滋賀事務所",IF(LEFT($C1,1)="兵","兵庫事務所",IF(LEFT($C1,1)="福","福井事務所",IF(LEFT($C1,1)="奈","奈良事務所",IF(LEFT($C1,1)="和","和歌山事務所","大阪支店")))))</f>
        <v>奈良事務所</v>
      </c>
      <c r="E9" s="324"/>
    </row>
    <row r="10" spans="1:5" ht="18" customHeight="1">
      <c r="C10" s="20"/>
      <c r="D10" s="306" t="str">
        <f>IF(LEFT($C1,1)="兵","所　 長",IF(LEFT($C1,1)="福","所　 長",IF(LEFT($C1,1)="奈","所　 長",IF(LEFT($C1,1)="滋","所　 長",IF(LEFT($C1,1)="和","所　 長","取締役　執行役員　支店長")))))</f>
        <v>所　 長</v>
      </c>
      <c r="E10" s="307" t="str">
        <f>IF(LEFT($C1,1)="滋","安藤　光明",IF(LEFT($C1,1)="兵","濱千代　拓馬",IF(LEFT($C1,1)="福","安藤　光明",IF(LEFT($C1,1)="奈","田村　淳",IF(LEFT($C1,1)="和","林　宏幸","渡邉　智明")))))</f>
        <v>田村　淳</v>
      </c>
    </row>
    <row r="11" spans="1:5" ht="18" customHeight="1">
      <c r="C11" s="19"/>
      <c r="D11" s="19"/>
      <c r="E11" s="19"/>
    </row>
    <row r="12" spans="1:5" ht="18" customHeight="1">
      <c r="C12" s="321" t="s">
        <v>17</v>
      </c>
      <c r="D12" s="262"/>
    </row>
    <row r="13" spans="1:5" ht="18" customHeight="1">
      <c r="C13" s="321"/>
      <c r="D13" s="262"/>
    </row>
    <row r="15" spans="1:5" ht="18" customHeight="1">
      <c r="C15" s="56" t="str">
        <f>IF($C$16=0,"歩掛り見積","")</f>
        <v/>
      </c>
      <c r="D15" s="56"/>
    </row>
    <row r="16" spans="1:5" ht="18" customHeight="1">
      <c r="C16" s="66">
        <f>内訳書!C3</f>
        <v>7530000</v>
      </c>
      <c r="D16" s="32"/>
    </row>
    <row r="17" spans="1:6" ht="18" customHeight="1">
      <c r="C17" s="67">
        <f>INT(C16*見積表紙!F29)</f>
        <v>753000</v>
      </c>
      <c r="D17" s="59"/>
    </row>
    <row r="18" spans="1:6" ht="18" customHeight="1">
      <c r="C18" s="31">
        <f>SUM(C16:C17)</f>
        <v>8283000</v>
      </c>
      <c r="D18" s="31"/>
    </row>
    <row r="19" spans="1:6" ht="18" customHeight="1">
      <c r="A19" s="36"/>
      <c r="B19" s="36"/>
      <c r="C19" s="36"/>
      <c r="D19" s="36"/>
      <c r="E19" s="36"/>
    </row>
    <row r="20" spans="1:6" ht="18" customHeight="1">
      <c r="A20" s="36"/>
      <c r="B20" s="36"/>
      <c r="C20" s="36"/>
      <c r="D20" s="30"/>
      <c r="E20" s="36"/>
    </row>
    <row r="21" spans="1:6" ht="18" customHeight="1">
      <c r="A21" s="319" t="s">
        <v>191</v>
      </c>
      <c r="B21" s="319"/>
      <c r="C21" s="319"/>
      <c r="D21" s="319"/>
      <c r="E21" s="319"/>
    </row>
    <row r="22" spans="1:6" ht="18" customHeight="1">
      <c r="A22" s="218"/>
      <c r="B22" s="218"/>
      <c r="C22" s="218"/>
      <c r="D22" s="218"/>
      <c r="E22" s="218"/>
    </row>
    <row r="23" spans="1:6" ht="18" customHeight="1">
      <c r="A23" s="249" t="s">
        <v>129</v>
      </c>
      <c r="B23" s="320"/>
      <c r="C23" s="320"/>
      <c r="D23" s="320"/>
      <c r="E23" s="219"/>
    </row>
    <row r="24" spans="1:6" ht="18" customHeight="1">
      <c r="A24" s="219"/>
      <c r="B24" s="320"/>
      <c r="C24" s="320"/>
      <c r="D24" s="320"/>
      <c r="E24" s="219"/>
    </row>
    <row r="25" spans="1:6" ht="18" customHeight="1">
      <c r="A25" s="36"/>
      <c r="B25" s="36"/>
      <c r="C25" s="145" t="s">
        <v>12</v>
      </c>
      <c r="D25" s="145" t="s">
        <v>28</v>
      </c>
      <c r="E25" s="216">
        <f>VLOOKUP($C28,$C29:$D39,2,FALSE)+E28</f>
        <v>46112</v>
      </c>
    </row>
    <row r="26" spans="1:6" ht="18" customHeight="1">
      <c r="A26" s="1">
        <v>1</v>
      </c>
      <c r="B26" s="1">
        <v>100</v>
      </c>
      <c r="C26" s="130">
        <v>7</v>
      </c>
      <c r="D26" s="16" t="s">
        <v>29</v>
      </c>
      <c r="E26" s="105">
        <f>VLOOKUP($C26,$C29:$D39,2,FALSE)</f>
        <v>46112</v>
      </c>
    </row>
    <row r="27" spans="1:6" ht="18" customHeight="1">
      <c r="A27" s="128"/>
      <c r="B27" s="146" t="s">
        <v>42</v>
      </c>
      <c r="C27" s="130">
        <v>7</v>
      </c>
      <c r="D27" s="16" t="s">
        <v>30</v>
      </c>
      <c r="E27" s="105">
        <f>VLOOKUP($C27,$C29:$D39,2,FALSE)</f>
        <v>46112</v>
      </c>
    </row>
    <row r="28" spans="1:6" ht="18" customHeight="1">
      <c r="A28" s="128" t="s">
        <v>137</v>
      </c>
      <c r="B28" s="147"/>
      <c r="C28" s="131">
        <v>7</v>
      </c>
      <c r="D28" s="19" t="s">
        <v>31</v>
      </c>
      <c r="F28" s="1" t="s">
        <v>47</v>
      </c>
    </row>
    <row r="29" spans="1:6" ht="18" customHeight="1">
      <c r="A29" s="128"/>
      <c r="B29" s="147"/>
      <c r="C29" s="1">
        <v>1</v>
      </c>
      <c r="D29" s="129">
        <v>43921</v>
      </c>
      <c r="E29" s="1" t="s">
        <v>38</v>
      </c>
      <c r="F29" s="151">
        <v>0.1</v>
      </c>
    </row>
    <row r="30" spans="1:6" ht="18" customHeight="1">
      <c r="A30" s="128" t="s">
        <v>136</v>
      </c>
      <c r="B30" s="147"/>
      <c r="C30" s="1">
        <v>2</v>
      </c>
      <c r="D30" s="129">
        <v>44286</v>
      </c>
      <c r="E30" s="1" t="s">
        <v>162</v>
      </c>
    </row>
    <row r="31" spans="1:6" ht="18" customHeight="1">
      <c r="A31" s="133"/>
      <c r="B31" s="148"/>
      <c r="C31" s="1">
        <v>3</v>
      </c>
      <c r="D31" s="129">
        <v>44651</v>
      </c>
      <c r="E31" s="1" t="s">
        <v>163</v>
      </c>
    </row>
    <row r="32" spans="1:6" ht="18" customHeight="1">
      <c r="A32" s="133" t="s">
        <v>151</v>
      </c>
      <c r="B32" s="133"/>
      <c r="C32" s="1">
        <v>4</v>
      </c>
      <c r="D32" s="129">
        <v>45016</v>
      </c>
      <c r="E32" s="1" t="s">
        <v>164</v>
      </c>
    </row>
    <row r="33" spans="1:5" ht="18" customHeight="1">
      <c r="A33" s="142">
        <v>0</v>
      </c>
      <c r="B33" s="145"/>
      <c r="C33" s="1">
        <v>5</v>
      </c>
      <c r="D33" s="129">
        <v>45382</v>
      </c>
      <c r="E33" s="1" t="s">
        <v>165</v>
      </c>
    </row>
    <row r="34" spans="1:5" ht="18" customHeight="1">
      <c r="A34" s="133"/>
      <c r="B34" s="133" t="s">
        <v>45</v>
      </c>
      <c r="C34" s="1">
        <v>6</v>
      </c>
      <c r="D34" s="129">
        <v>45747</v>
      </c>
      <c r="E34" s="1" t="s">
        <v>166</v>
      </c>
    </row>
    <row r="35" spans="1:5" ht="18" customHeight="1">
      <c r="A35" s="143" t="s">
        <v>152</v>
      </c>
      <c r="B35" s="149" t="s">
        <v>46</v>
      </c>
      <c r="C35" s="1">
        <v>7</v>
      </c>
      <c r="D35" s="129">
        <v>46112</v>
      </c>
      <c r="E35" s="1" t="s">
        <v>167</v>
      </c>
    </row>
    <row r="36" spans="1:5" ht="18" customHeight="1">
      <c r="A36" s="143" t="s">
        <v>153</v>
      </c>
      <c r="B36" s="150" t="s">
        <v>43</v>
      </c>
      <c r="C36" s="1">
        <v>8</v>
      </c>
      <c r="D36" s="129">
        <v>46477</v>
      </c>
      <c r="E36" s="1" t="s">
        <v>168</v>
      </c>
    </row>
    <row r="37" spans="1:5" ht="18" customHeight="1">
      <c r="A37" s="143" t="s">
        <v>154</v>
      </c>
      <c r="B37" s="149" t="s">
        <v>44</v>
      </c>
      <c r="C37" s="1">
        <v>9</v>
      </c>
      <c r="D37" s="129">
        <v>46843</v>
      </c>
      <c r="E37" s="1" t="s">
        <v>169</v>
      </c>
    </row>
    <row r="38" spans="1:5" ht="18" customHeight="1">
      <c r="C38" s="1">
        <v>10</v>
      </c>
      <c r="D38" s="129">
        <v>47208</v>
      </c>
      <c r="E38" s="1" t="s">
        <v>170</v>
      </c>
    </row>
    <row r="39" spans="1:5" ht="18" customHeight="1" thickBot="1">
      <c r="C39" s="1">
        <v>11</v>
      </c>
      <c r="D39" s="129">
        <v>47573</v>
      </c>
      <c r="E39" s="1" t="s">
        <v>171</v>
      </c>
    </row>
    <row r="40" spans="1:5" ht="18" customHeight="1">
      <c r="A40" s="237" t="s">
        <v>138</v>
      </c>
      <c r="B40" s="213" t="s">
        <v>133</v>
      </c>
    </row>
    <row r="41" spans="1:5" ht="18" customHeight="1">
      <c r="A41" s="238">
        <v>0.35</v>
      </c>
      <c r="B41" s="239">
        <v>0.35</v>
      </c>
      <c r="C41" s="242" t="s">
        <v>139</v>
      </c>
    </row>
    <row r="42" spans="1:5" ht="18" customHeight="1">
      <c r="A42" s="134"/>
      <c r="B42" s="214"/>
    </row>
    <row r="43" spans="1:5" ht="18" customHeight="1">
      <c r="A43" s="134" t="s">
        <v>131</v>
      </c>
      <c r="B43" s="214"/>
    </row>
    <row r="44" spans="1:5" ht="18" customHeight="1">
      <c r="A44" s="134" t="s">
        <v>20</v>
      </c>
      <c r="B44" s="214"/>
    </row>
    <row r="45" spans="1:5" ht="18" customHeight="1">
      <c r="A45" s="134" t="s">
        <v>21</v>
      </c>
      <c r="B45" s="214"/>
    </row>
    <row r="46" spans="1:5" ht="18" customHeight="1">
      <c r="A46" s="134" t="s">
        <v>22</v>
      </c>
      <c r="B46" s="214"/>
    </row>
    <row r="47" spans="1:5" ht="18" customHeight="1">
      <c r="A47" s="134" t="s">
        <v>132</v>
      </c>
      <c r="B47" s="214"/>
    </row>
    <row r="48" spans="1:5" ht="18" customHeight="1">
      <c r="A48" s="134" t="s">
        <v>24</v>
      </c>
      <c r="B48" s="214"/>
    </row>
    <row r="49" spans="1:2" ht="18" customHeight="1">
      <c r="A49" s="134" t="s">
        <v>23</v>
      </c>
      <c r="B49" s="214"/>
    </row>
    <row r="50" spans="1:2" ht="18" customHeight="1" thickBot="1">
      <c r="A50" s="240" t="s">
        <v>25</v>
      </c>
      <c r="B50" s="241"/>
    </row>
  </sheetData>
  <mergeCells count="7">
    <mergeCell ref="A21:E21"/>
    <mergeCell ref="B23:D24"/>
    <mergeCell ref="C12:C13"/>
    <mergeCell ref="D1:E1"/>
    <mergeCell ref="D7:E7"/>
    <mergeCell ref="D8:E8"/>
    <mergeCell ref="D9:E9"/>
  </mergeCells>
  <phoneticPr fontId="3"/>
  <conditionalFormatting sqref="E26:E27">
    <cfRule type="expression" dxfId="8" priority="2" stopIfTrue="1">
      <formula>AND(LEFT($C$15,1)="歩",$C$28=0)</formula>
    </cfRule>
  </conditionalFormatting>
  <conditionalFormatting sqref="B4">
    <cfRule type="expression" dxfId="7" priority="3" stopIfTrue="1">
      <formula>AND($A$31&lt;&gt;"",OR($A$27&lt;&gt;0,MID(D1,4,1)="市",MID(D1,5,1)="市",MID(D1,6,1)="市",MID(D1,7,1)="市",MID(D1,8,1)="市",MID(D1,9,1)="市"))</formula>
    </cfRule>
  </conditionalFormatting>
  <conditionalFormatting sqref="A4">
    <cfRule type="expression" dxfId="6" priority="1" stopIfTrue="1">
      <formula>AND($A$31&lt;&gt;"",OR($A$27&lt;&gt;0,MID(C1,4,1)="市",MID(C1,5,1)="市",MID(C1,6,1)="市",MID(C1,7,1)="市",MID(C1,8,1)="市",MID(C1,9,1)="市"))</formula>
    </cfRule>
  </conditionalFormatting>
  <printOptions horizontalCentered="1" verticalCentered="1" gridLinesSet="0"/>
  <pageMargins left="0" right="0" top="0.59055118110236227" bottom="0" header="0" footer="0"/>
  <pageSetup paperSize="9" orientation="landscape" r:id="rId1"/>
  <headerFooter alignWithMargins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34"/>
  <sheetViews>
    <sheetView showGridLines="0" showZeros="0" tabSelected="1" view="pageBreakPreview" zoomScaleNormal="100" workbookViewId="0">
      <selection activeCell="H16" sqref="H16"/>
    </sheetView>
  </sheetViews>
  <sheetFormatPr defaultColWidth="9" defaultRowHeight="18" customHeight="1"/>
  <cols>
    <col min="1" max="1" width="2.69921875" style="1" customWidth="1"/>
    <col min="2" max="2" width="37.69921875" style="1" customWidth="1"/>
    <col min="3" max="3" width="20.69921875" style="1" customWidth="1"/>
    <col min="4" max="4" width="6" style="1" customWidth="1"/>
    <col min="5" max="5" width="8.3984375" style="1" customWidth="1"/>
    <col min="6" max="6" width="13.69921875" style="1" customWidth="1"/>
    <col min="7" max="7" width="16.59765625" style="1" customWidth="1"/>
    <col min="8" max="8" width="34" style="1" customWidth="1"/>
    <col min="9" max="16384" width="9" style="1"/>
  </cols>
  <sheetData>
    <row r="1" spans="1:8" ht="18" customHeight="1">
      <c r="A1" s="263"/>
      <c r="B1" s="124" t="s">
        <v>130</v>
      </c>
      <c r="C1" s="57" t="s">
        <v>26</v>
      </c>
      <c r="D1" s="104" t="s">
        <v>23</v>
      </c>
      <c r="E1" s="220"/>
      <c r="F1" s="58" t="s">
        <v>19</v>
      </c>
      <c r="G1" s="24" t="str">
        <f>VLOOKUP(見積表紙!$C$28,見積表紙!$C$29:$E$39,3,FALSE)</f>
        <v>令和7年度</v>
      </c>
      <c r="H1" s="73">
        <v>10000</v>
      </c>
    </row>
    <row r="2" spans="1:8" ht="18" customHeight="1" thickBot="1">
      <c r="B2" s="325" t="str">
        <f>直接人件費!B2</f>
        <v>田原本停車場線　歩道設置検討業務委託（防災・安全（道環））</v>
      </c>
      <c r="C2" s="325"/>
      <c r="D2" s="325"/>
      <c r="E2" s="221"/>
      <c r="F2" s="2"/>
      <c r="G2" s="2"/>
      <c r="H2" s="2"/>
    </row>
    <row r="3" spans="1:8" ht="18" customHeight="1" thickBot="1">
      <c r="A3" s="144"/>
      <c r="B3" s="78" t="s">
        <v>0</v>
      </c>
      <c r="C3" s="3">
        <f>G25</f>
        <v>7530000</v>
      </c>
      <c r="D3" s="4" t="s">
        <v>1</v>
      </c>
      <c r="E3" s="222"/>
      <c r="F3" s="5"/>
      <c r="G3" s="5"/>
      <c r="H3" s="223"/>
    </row>
    <row r="4" spans="1:8" ht="18" customHeight="1" thickBot="1">
      <c r="B4" s="6" t="s">
        <v>2</v>
      </c>
      <c r="C4" s="7" t="s">
        <v>3</v>
      </c>
      <c r="D4" s="7" t="s">
        <v>4</v>
      </c>
      <c r="E4" s="7" t="s">
        <v>5</v>
      </c>
      <c r="F4" s="7" t="s">
        <v>6</v>
      </c>
      <c r="G4" s="7" t="s">
        <v>7</v>
      </c>
      <c r="H4" s="8" t="s">
        <v>8</v>
      </c>
    </row>
    <row r="5" spans="1:8" ht="18" customHeight="1">
      <c r="B5" s="79" t="str">
        <f>IF(B1="新","①直接人件費",IF(直接人件費!O3="測量","１．直 接 測 量 費",IF(直接人件費!O3="調査","１．直 接 調 査 費","１．直 接 人 件 費")))</f>
        <v>①直接人件費</v>
      </c>
      <c r="C5" s="80"/>
      <c r="D5" s="81" t="s">
        <v>13</v>
      </c>
      <c r="E5" s="82">
        <v>1</v>
      </c>
      <c r="F5" s="156"/>
      <c r="G5" s="83">
        <f>直接人件費!O29</f>
        <v>3005350</v>
      </c>
      <c r="H5" s="84" t="s">
        <v>48</v>
      </c>
    </row>
    <row r="6" spans="1:8" ht="18" customHeight="1">
      <c r="B6" s="158"/>
      <c r="C6" s="25"/>
      <c r="D6" s="85"/>
      <c r="E6" s="11"/>
      <c r="F6" s="14"/>
      <c r="G6" s="12"/>
      <c r="H6" s="13"/>
    </row>
    <row r="7" spans="1:8" ht="18" customHeight="1">
      <c r="A7" s="264"/>
      <c r="B7" s="10"/>
      <c r="C7" s="25"/>
      <c r="D7" s="85"/>
      <c r="E7" s="11"/>
      <c r="F7" s="14"/>
      <c r="G7" s="12"/>
      <c r="H7" s="152"/>
    </row>
    <row r="8" spans="1:8" ht="18" customHeight="1">
      <c r="A8" s="264"/>
      <c r="B8" s="10"/>
      <c r="C8" s="25"/>
      <c r="D8" s="11"/>
      <c r="E8" s="11"/>
      <c r="F8" s="14"/>
      <c r="G8" s="12"/>
      <c r="H8" s="13"/>
    </row>
    <row r="9" spans="1:8" ht="18" customHeight="1">
      <c r="A9" s="265"/>
      <c r="B9" s="10"/>
      <c r="C9" s="25"/>
      <c r="D9" s="11"/>
      <c r="E9" s="11"/>
      <c r="F9" s="14"/>
      <c r="G9" s="12"/>
      <c r="H9" s="13"/>
    </row>
    <row r="10" spans="1:8" ht="18" customHeight="1">
      <c r="A10" s="69"/>
      <c r="B10" s="10"/>
      <c r="C10" s="25"/>
      <c r="D10" s="68"/>
      <c r="E10" s="11"/>
      <c r="F10" s="14"/>
      <c r="G10" s="12"/>
      <c r="H10" s="13"/>
    </row>
    <row r="11" spans="1:8" ht="18" customHeight="1">
      <c r="A11" s="19"/>
      <c r="B11" s="10"/>
      <c r="C11" s="25"/>
      <c r="D11" s="68"/>
      <c r="E11" s="11"/>
      <c r="F11" s="14"/>
      <c r="G11" s="12"/>
      <c r="H11" s="13"/>
    </row>
    <row r="12" spans="1:8" ht="18" customHeight="1">
      <c r="B12" s="10"/>
      <c r="C12" s="25"/>
      <c r="D12" s="11"/>
      <c r="E12" s="11"/>
      <c r="F12" s="14"/>
      <c r="G12" s="12"/>
      <c r="H12" s="13"/>
    </row>
    <row r="13" spans="1:8" ht="18" customHeight="1">
      <c r="B13" s="87"/>
      <c r="C13" s="88"/>
      <c r="D13" s="85"/>
      <c r="E13" s="85"/>
      <c r="F13" s="157"/>
      <c r="G13" s="89"/>
      <c r="H13" s="90"/>
    </row>
    <row r="14" spans="1:8" ht="18" customHeight="1">
      <c r="B14" s="94" t="str">
        <f>IF(B1="新","②直接経費（積上げ部分）",IF(直接人件費!O3="測量","２．間 接 測 量 費",IF(直接人件費!O3="調査","２．間 接 調 査 費","２．直　接　経　費")))</f>
        <v>②直接経費（積上げ部分）</v>
      </c>
      <c r="C14" s="95"/>
      <c r="D14" s="96" t="s">
        <v>13</v>
      </c>
      <c r="E14" s="96">
        <v>1</v>
      </c>
      <c r="F14" s="97"/>
      <c r="G14" s="97">
        <f>SUM(G15:G19)</f>
        <v>271933</v>
      </c>
      <c r="H14" s="153"/>
    </row>
    <row r="15" spans="1:8" ht="18" customHeight="1">
      <c r="B15" s="225" t="s">
        <v>49</v>
      </c>
      <c r="C15" s="25"/>
      <c r="D15" s="11" t="s">
        <v>13</v>
      </c>
      <c r="E15" s="11">
        <v>1</v>
      </c>
      <c r="F15" s="12"/>
      <c r="G15" s="162">
        <f>G33</f>
        <v>18933</v>
      </c>
      <c r="H15" s="154"/>
    </row>
    <row r="16" spans="1:8" ht="18" customHeight="1">
      <c r="B16" s="225" t="s">
        <v>35</v>
      </c>
      <c r="C16" s="25"/>
      <c r="D16" s="11" t="s">
        <v>13</v>
      </c>
      <c r="E16" s="11">
        <v>1</v>
      </c>
      <c r="F16" s="15"/>
      <c r="G16" s="162">
        <f>G29</f>
        <v>253000</v>
      </c>
      <c r="H16" s="152"/>
    </row>
    <row r="17" spans="1:8" ht="18" customHeight="1">
      <c r="B17" s="224"/>
      <c r="C17" s="88"/>
      <c r="D17" s="85"/>
      <c r="E17" s="85"/>
      <c r="F17" s="91"/>
      <c r="G17" s="217"/>
      <c r="H17" s="155"/>
    </row>
    <row r="18" spans="1:8" ht="18" customHeight="1">
      <c r="B18" s="224"/>
      <c r="C18" s="88"/>
      <c r="D18" s="85"/>
      <c r="E18" s="85"/>
      <c r="F18" s="91"/>
      <c r="G18" s="217"/>
      <c r="H18" s="155"/>
    </row>
    <row r="19" spans="1:8" ht="18" customHeight="1">
      <c r="A19" s="36"/>
      <c r="B19" s="224"/>
      <c r="C19" s="88"/>
      <c r="D19" s="85"/>
      <c r="E19" s="85"/>
      <c r="F19" s="91"/>
      <c r="G19" s="89"/>
      <c r="H19" s="155"/>
    </row>
    <row r="20" spans="1:8" ht="18" customHeight="1">
      <c r="A20" s="36"/>
      <c r="B20" s="94" t="str">
        <f>IF(B1="新","③その他原価",IF(H22=0,"","３．諸　  経 　 費"))</f>
        <v>③その他原価</v>
      </c>
      <c r="C20" s="96"/>
      <c r="D20" s="96" t="str">
        <f>IF(H22=0,"","式")</f>
        <v>式</v>
      </c>
      <c r="E20" s="96">
        <f>IF(H22=0,"",1)</f>
        <v>1</v>
      </c>
      <c r="F20" s="103"/>
      <c r="G20" s="97">
        <f>INT(IF(B1="新",G5*INT(見積表紙!A41/(1-見積表紙!A41)*H29+0.5)/H29,(G5*H20)))</f>
        <v>1618380</v>
      </c>
      <c r="H20" s="125" t="str">
        <f>IF(B1="新","①×α/(1-α)：α="&amp;見積表紙!A41*100&amp;"%",IF(H22=0,0,120%))</f>
        <v>①×α/(1-α)：α=35%</v>
      </c>
    </row>
    <row r="21" spans="1:8" ht="18" customHeight="1">
      <c r="A21" s="261"/>
      <c r="B21" s="87" t="str">
        <f>IF(直接人件費!O3="測量","　　　諸　  経 　 費",IF(直接人件費!O3="調査","　　　　諸　  経 　 費",""))</f>
        <v/>
      </c>
      <c r="C21" s="85"/>
      <c r="D21" s="85" t="str">
        <f>IF(H22=0,"式","")</f>
        <v/>
      </c>
      <c r="E21" s="85">
        <f>IF(H22=0,1,0)</f>
        <v>0</v>
      </c>
      <c r="F21" s="91"/>
      <c r="G21" s="89">
        <f>INT((G5+G14)*H21)</f>
        <v>0</v>
      </c>
      <c r="H21" s="92">
        <f>IF(直接人件費!O3="設計",0,IF(直接人件費!O3="測量",IF((G5+G14)&lt;=500000,0.958,IF((G5+G14)&lt;=100000000,ROUND(288.5*(G5+G14)^(-0.084)/100,3),0.614)),IF((G5+G14)&lt;=1000000,0.599,IF((G5+G14)&lt;=30000000,ROUND(285.3*(G5+G14)^(-0.113)/100,3),0.408))))</f>
        <v>0</v>
      </c>
    </row>
    <row r="22" spans="1:8" ht="18" customHeight="1">
      <c r="A22" s="218"/>
      <c r="B22" s="94" t="str">
        <f>IF(B1="新","④一般管理費等",IF(H22=0,"","４．技  術  経  費"))</f>
        <v>④一般管理費等</v>
      </c>
      <c r="C22" s="98" t="str">
        <f>D1</f>
        <v>中</v>
      </c>
      <c r="D22" s="96" t="str">
        <f>IF(H22=0,"","式")</f>
        <v>式</v>
      </c>
      <c r="E22" s="96">
        <f>IF(H22=0,"",1)</f>
        <v>1</v>
      </c>
      <c r="F22" s="103"/>
      <c r="G22" s="97">
        <f>INT(IF(B1="新",(G5+G14+G20)*INT(見積表紙!B41/(1-見積表紙!B41)*H29+0.5)/H29,((G5+G20)*H22)))</f>
        <v>2636314</v>
      </c>
      <c r="H22" s="126" t="str">
        <f>IF(B1="新","(①+②+③)×β/(1-β)：β="&amp;見積表紙!B41*100&amp;"%",IF(AND(直接人件費!O3="設計",C22="易"),0.2,IF(AND(直接人件費!O3="設計",C22="中"),0.3,IF(AND(直接人件費!O3="設計",C22="難"),0.4,0))))</f>
        <v>(①+②+③)×β/(1-β)：β=35%</v>
      </c>
    </row>
    <row r="23" spans="1:8" ht="18" customHeight="1">
      <c r="A23" s="219"/>
      <c r="B23" s="87"/>
      <c r="C23" s="85"/>
      <c r="D23" s="93"/>
      <c r="E23" s="85"/>
      <c r="F23" s="91"/>
      <c r="G23" s="89"/>
      <c r="H23" s="90"/>
    </row>
    <row r="24" spans="1:8" ht="18" customHeight="1">
      <c r="A24" s="219"/>
      <c r="B24" s="100" t="s">
        <v>10</v>
      </c>
      <c r="C24" s="96"/>
      <c r="D24" s="101"/>
      <c r="E24" s="102"/>
      <c r="F24" s="103"/>
      <c r="G24" s="97">
        <f>G5+G14+SUM(G20:G23)</f>
        <v>7531977</v>
      </c>
      <c r="H24" s="99"/>
    </row>
    <row r="25" spans="1:8" ht="18" customHeight="1" thickBot="1">
      <c r="A25" s="216"/>
      <c r="B25" s="26"/>
      <c r="C25" s="27"/>
      <c r="D25" s="86"/>
      <c r="E25" s="28"/>
      <c r="F25" s="29"/>
      <c r="G25" s="29">
        <f>INT(G24/H1)*H1</f>
        <v>7530000</v>
      </c>
      <c r="H25" s="52" t="s">
        <v>14</v>
      </c>
    </row>
    <row r="26" spans="1:8" ht="18" customHeight="1">
      <c r="A26" s="105"/>
      <c r="B26" s="17"/>
      <c r="C26" s="17"/>
      <c r="D26" s="17"/>
      <c r="E26" s="17"/>
      <c r="F26" s="18"/>
      <c r="G26" s="21"/>
      <c r="H26" s="22" t="s">
        <v>15</v>
      </c>
    </row>
    <row r="27" spans="1:8" ht="18" customHeight="1">
      <c r="A27" s="105"/>
      <c r="D27" s="244" t="s">
        <v>142</v>
      </c>
      <c r="E27" s="244" t="s">
        <v>141</v>
      </c>
      <c r="F27" s="244" t="s">
        <v>140</v>
      </c>
      <c r="G27" s="244" t="s">
        <v>143</v>
      </c>
    </row>
    <row r="28" spans="1:8" ht="18" customHeight="1">
      <c r="C28" s="243" t="s">
        <v>34</v>
      </c>
      <c r="D28" s="246">
        <v>3</v>
      </c>
      <c r="E28" s="247">
        <v>2</v>
      </c>
      <c r="F28" s="248"/>
      <c r="G28" s="127">
        <f>INT(2*D28*E28*INT(F28/(1+見積表紙!F29)))</f>
        <v>0</v>
      </c>
      <c r="H28" s="16" t="s">
        <v>145</v>
      </c>
    </row>
    <row r="29" spans="1:8" ht="18" customHeight="1">
      <c r="C29" s="1" t="s">
        <v>35</v>
      </c>
      <c r="D29" s="1" t="s">
        <v>36</v>
      </c>
      <c r="F29" s="127"/>
      <c r="G29" s="127">
        <f>IF(INT((INT(G5/1000))^0.45*6.9)*1000&gt;700000,700000,IF(INT((INT(G5/1000))^0.45*6.9)*1000&lt;20000,20000,INT((INT(G5/1000))^0.45*6.9)*1000))</f>
        <v>253000</v>
      </c>
      <c r="H29" s="1">
        <v>10000</v>
      </c>
    </row>
    <row r="30" spans="1:8" ht="18" customHeight="1">
      <c r="C30" s="220" t="s">
        <v>146</v>
      </c>
      <c r="D30" s="1" t="s">
        <v>37</v>
      </c>
      <c r="F30" s="127"/>
      <c r="G30" s="127">
        <f>IF(INT((INT(G5/1000))^0.38*5.1)*1000&gt;250000,250000,IF(INT((INT(G5/1000))^0.38*5.1)*1000&lt;20000,20000,INT((INT(G5/1000))^0.38*5.1)*1000))</f>
        <v>106000</v>
      </c>
      <c r="H30" s="245" t="s">
        <v>144</v>
      </c>
    </row>
    <row r="31" spans="1:8" ht="18" customHeight="1">
      <c r="D31" s="1" t="s">
        <v>183</v>
      </c>
      <c r="G31" s="305">
        <f>INT(G5*0.0056)</f>
        <v>16829</v>
      </c>
    </row>
    <row r="32" spans="1:8" ht="18" customHeight="1">
      <c r="D32" s="1" t="s">
        <v>184</v>
      </c>
      <c r="G32" s="305">
        <f>INT(G5*0.0214)</f>
        <v>64314</v>
      </c>
    </row>
    <row r="33" spans="4:7" ht="18" customHeight="1">
      <c r="D33" s="1" t="s">
        <v>185</v>
      </c>
      <c r="G33" s="305">
        <f>INT(G5*0.0063)</f>
        <v>18933</v>
      </c>
    </row>
    <row r="34" spans="4:7" ht="18" customHeight="1">
      <c r="D34" s="1" t="s">
        <v>186</v>
      </c>
      <c r="G34" s="305">
        <f>INT(G5*0.0149)</f>
        <v>44779</v>
      </c>
    </row>
  </sheetData>
  <mergeCells count="1">
    <mergeCell ref="B2:D2"/>
  </mergeCells>
  <phoneticPr fontId="26"/>
  <conditionalFormatting sqref="A26:A27">
    <cfRule type="expression" dxfId="5" priority="18" stopIfTrue="1">
      <formula>AND(LEFT(#REF!,1)="歩",#REF!=0)</formula>
    </cfRule>
  </conditionalFormatting>
  <conditionalFormatting sqref="C1:D1">
    <cfRule type="expression" dxfId="4" priority="19" stopIfTrue="1">
      <formula>#REF!="設計"</formula>
    </cfRule>
  </conditionalFormatting>
  <conditionalFormatting sqref="C22">
    <cfRule type="expression" dxfId="3" priority="20" stopIfTrue="1">
      <formula>#REF!="設計"</formula>
    </cfRule>
  </conditionalFormatting>
  <conditionalFormatting sqref="H21">
    <cfRule type="expression" dxfId="2" priority="1" stopIfTrue="1">
      <formula>$CF18&lt;&gt;""</formula>
    </cfRule>
  </conditionalFormatting>
  <dataValidations count="1">
    <dataValidation type="list" allowBlank="1" showInputMessage="1" showErrorMessage="1" sqref="D1" xr:uid="{00000000-0002-0000-0100-000000000000}">
      <formula1>#REF!</formula1>
    </dataValidation>
  </dataValidations>
  <printOptions horizontalCentered="1" verticalCentered="1" gridLinesSet="0"/>
  <pageMargins left="0" right="0" top="0.59055118110236227" bottom="0" header="0" footer="0"/>
  <pageSetup paperSize="9" orientation="landscape" r:id="rId1"/>
  <headerFooter alignWithMargins="0"/>
  <colBreaks count="1" manualBreakCount="1">
    <brk id="1" min="1" max="23" man="1"/>
  </colBreaks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B1:R48"/>
  <sheetViews>
    <sheetView showGridLines="0" showZeros="0" view="pageBreakPreview" zoomScaleNormal="100" workbookViewId="0">
      <selection activeCell="K14" sqref="K14"/>
    </sheetView>
  </sheetViews>
  <sheetFormatPr defaultColWidth="9" defaultRowHeight="18" customHeight="1"/>
  <cols>
    <col min="1" max="1" width="2.69921875" style="1" customWidth="1"/>
    <col min="2" max="2" width="52.8984375" style="1" customWidth="1"/>
    <col min="3" max="4" width="4.69921875" style="1" customWidth="1"/>
    <col min="5" max="5" width="10.3984375" style="1" customWidth="1"/>
    <col min="6" max="7" width="9.8984375" style="1" customWidth="1"/>
    <col min="8" max="11" width="8.8984375" style="1" customWidth="1"/>
    <col min="12" max="13" width="8.8984375" style="1" hidden="1" customWidth="1"/>
    <col min="14" max="14" width="8.296875" style="1" customWidth="1"/>
    <col min="15" max="15" width="12" style="1" customWidth="1"/>
    <col min="16" max="16" width="8.296875" style="1" hidden="1" customWidth="1"/>
    <col min="17" max="17" width="12" style="1" hidden="1" customWidth="1"/>
    <col min="18" max="18" width="15.69921875" style="1" customWidth="1"/>
    <col min="19" max="16384" width="9" style="1"/>
  </cols>
  <sheetData>
    <row r="1" spans="2:18" ht="18" customHeight="1" thickBot="1">
      <c r="E1" s="24">
        <v>2</v>
      </c>
      <c r="F1" s="24">
        <v>3</v>
      </c>
      <c r="G1" s="24">
        <v>4</v>
      </c>
      <c r="H1" s="24">
        <v>5</v>
      </c>
      <c r="I1" s="24">
        <v>6</v>
      </c>
      <c r="J1" s="24">
        <v>7</v>
      </c>
      <c r="K1" s="24">
        <v>8</v>
      </c>
      <c r="L1" s="1">
        <v>9</v>
      </c>
      <c r="M1" s="1">
        <v>10</v>
      </c>
    </row>
    <row r="2" spans="2:18" ht="18" customHeight="1">
      <c r="B2" s="39" t="str">
        <f>MID(見積表紙!A$21,4,100)</f>
        <v>田原本停車場線　歩道設置検討業務委託（防災・安全（道環））</v>
      </c>
      <c r="C2" s="40"/>
      <c r="D2" s="40"/>
      <c r="E2" s="40"/>
      <c r="F2" s="40"/>
      <c r="G2" s="40"/>
      <c r="H2" s="40"/>
      <c r="I2" s="40"/>
      <c r="J2" s="40"/>
      <c r="K2" s="40"/>
      <c r="L2" s="40"/>
      <c r="M2" s="40"/>
      <c r="N2" s="40"/>
      <c r="O2" s="40"/>
      <c r="P2" s="40"/>
      <c r="Q2" s="40"/>
      <c r="R2" s="213"/>
    </row>
    <row r="3" spans="2:18" ht="18" customHeight="1">
      <c r="B3" s="134"/>
      <c r="C3" s="36"/>
      <c r="D3" s="36"/>
      <c r="E3" s="33"/>
      <c r="F3" s="33"/>
      <c r="G3" s="33"/>
      <c r="H3" s="34" t="s">
        <v>39</v>
      </c>
      <c r="I3" s="34"/>
      <c r="J3" s="33"/>
      <c r="K3" s="33"/>
      <c r="L3" s="33"/>
      <c r="M3" s="33"/>
      <c r="N3" s="33"/>
      <c r="O3" s="62" t="s">
        <v>20</v>
      </c>
      <c r="P3" s="62"/>
      <c r="Q3" s="62"/>
      <c r="R3" s="214"/>
    </row>
    <row r="4" spans="2:18" ht="18" customHeight="1">
      <c r="B4" s="37" t="s">
        <v>16</v>
      </c>
      <c r="C4" s="227"/>
      <c r="D4" s="231"/>
      <c r="E4" s="74" t="str">
        <f>HLOOKUP($B4,単価!$A$1:$IN$112,IF($O3="設計",$E1,IF($O3="測量",$E1+9,IF($O3="調査",$E1+20,"???"))))</f>
        <v>主任技術者</v>
      </c>
      <c r="F4" s="75" t="str">
        <f>HLOOKUP($B4,単価!$A$1:$IN$112,IF($O3="設計",$F1,IF($O3="測量",$F1+9,IF($O3="調査",$F1+20,"???"))))</f>
        <v>理事、技師長</v>
      </c>
      <c r="G4" s="75" t="str">
        <f>HLOOKUP($B4,単価!$A$1:$IN$112,IF($O3="設計",$G1,IF($O3="測量",$G1+9,IF($O3="調査",$G1+20,"???"))))</f>
        <v>主任技師</v>
      </c>
      <c r="H4" s="75" t="str">
        <f>HLOOKUP($B4,単価!$A$1:$IN$112,IF($O3="設計",$H1,IF($O3="測量",$H1+9,IF($O3="調査",$H1+20,"???"))))</f>
        <v>技師(Ａ)</v>
      </c>
      <c r="I4" s="75" t="str">
        <f>HLOOKUP($B4,単価!$A$1:$IN$112,IF($O3="設計",$I1,IF($O3="測量",$I1+9,IF($O3="調査",$I1+20,"???"))))</f>
        <v>技師(Ｂ)</v>
      </c>
      <c r="J4" s="75" t="str">
        <f>HLOOKUP($B4,単価!$A$1:$IN$112,IF($O3="設計",$J1,IF($O3="測量",$J1+9,IF($O3="調査",$J1+20,"???"))))</f>
        <v>技師(Ｃ)</v>
      </c>
      <c r="K4" s="75" t="str">
        <f>HLOOKUP($B4,単価!$A$1:$IN$112,IF($O3="設計",$K1,IF($O3="測量",$K1+9,IF($O3="調査",$K1+20,"???"))))</f>
        <v>技術員</v>
      </c>
      <c r="L4" s="75" t="str">
        <f>HLOOKUP($B4,単価!$A$1:$IN$112,IF($O3="設計",$L1,IF($O3="測量",$L1+9,IF($O3="調査",$L1+18,"???"))))</f>
        <v>製図工</v>
      </c>
      <c r="M4" s="135"/>
      <c r="N4" s="326" t="s">
        <v>40</v>
      </c>
      <c r="O4" s="327"/>
      <c r="P4" s="328" t="s">
        <v>32</v>
      </c>
      <c r="Q4" s="329"/>
      <c r="R4" s="215"/>
    </row>
    <row r="5" spans="2:18" ht="18" customHeight="1">
      <c r="B5" s="136" t="s">
        <v>9</v>
      </c>
      <c r="C5" s="228" t="s">
        <v>134</v>
      </c>
      <c r="D5" s="9" t="s">
        <v>135</v>
      </c>
      <c r="E5" s="76">
        <f>HLOOKUP(内訳書!$G$1,単価!$A$1:$IN$112,IF($O3="設計",$E1,IF($O3="測量",$E1+9,IF($O3="調査",$E1+20,"???"))))</f>
        <v>88600</v>
      </c>
      <c r="F5" s="77">
        <f>HLOOKUP(内訳書!$G$1,単価!$A$1:$IN$112,IF($O3="設計",$F1,IF($O3="測量",$F1+9,IF($O3="調査",$F1+20,"???"))))</f>
        <v>77500</v>
      </c>
      <c r="G5" s="77">
        <f>HLOOKUP(内訳書!$G$1,単価!$A$1:$IN$112,IF($O3="設計",$G1,IF($O3="測量",$G1+9,IF($O3="調査",$G1+20,"???"))))</f>
        <v>66900</v>
      </c>
      <c r="H5" s="77">
        <f>HLOOKUP(内訳書!$G$1,単価!$A$1:$IN$112,IF($O3="設計",$H1,IF($O3="測量",$H1+9,IF($O3="調査",$H1+20,"???"))))</f>
        <v>59600</v>
      </c>
      <c r="I5" s="77">
        <f>HLOOKUP(内訳書!$G$1,単価!$A$1:$IN$112,IF($O3="設計",$I1,IF($O3="測量",$I1+9,IF($O3="調査",$I1+20,"???"))))</f>
        <v>48500</v>
      </c>
      <c r="J5" s="77">
        <f>HLOOKUP(内訳書!$G$1,単価!$A$1:$IN$112,IF($O3="設計",$J1,IF($O3="測量",$J1+9,IF($O3="調査",$J1+20,"???"))))</f>
        <v>40300</v>
      </c>
      <c r="K5" s="77">
        <f>HLOOKUP(内訳書!$G$1,単価!$A$1:$IN$112,IF($O3="設計",$K1,IF($O3="測量",$K1+9,IF($O3="調査",$K1+20,"???"))))</f>
        <v>36100</v>
      </c>
      <c r="L5" s="77">
        <f>HLOOKUP(内訳書!$G$1,単価!$A$1:$IN$112,IF($O3="設計",$L1,IF($O3="測量",$L1+9,IF($O3="調査",$L1+18,"???"))))</f>
        <v>0</v>
      </c>
      <c r="M5" s="137"/>
      <c r="N5" s="106" t="s">
        <v>27</v>
      </c>
      <c r="O5" s="9" t="s">
        <v>41</v>
      </c>
      <c r="P5" s="70" t="s">
        <v>27</v>
      </c>
      <c r="Q5" s="9" t="s">
        <v>33</v>
      </c>
      <c r="R5" s="107" t="s">
        <v>8</v>
      </c>
    </row>
    <row r="6" spans="2:18" ht="18" customHeight="1">
      <c r="B6" s="42" t="s">
        <v>193</v>
      </c>
      <c r="C6" s="96" t="s">
        <v>205</v>
      </c>
      <c r="D6" s="232">
        <v>1</v>
      </c>
      <c r="E6" s="44"/>
      <c r="F6" s="160"/>
      <c r="G6" s="160">
        <v>0.5</v>
      </c>
      <c r="H6" s="160">
        <v>1.5</v>
      </c>
      <c r="I6" s="160">
        <v>1</v>
      </c>
      <c r="J6" s="160"/>
      <c r="K6" s="160"/>
      <c r="L6" s="45"/>
      <c r="M6" s="138"/>
      <c r="N6" s="108">
        <f>SUM(E6:K6)</f>
        <v>3</v>
      </c>
      <c r="O6" s="109">
        <f>INT(SUMPRODUCT($E$5:$K$5,$E6:$K6))</f>
        <v>171350</v>
      </c>
      <c r="P6" s="110">
        <f>SUM(L6:M6)</f>
        <v>0</v>
      </c>
      <c r="Q6" s="111">
        <f>INT(SUMPRODUCT($L5:$M5,$L6:$M6))</f>
        <v>0</v>
      </c>
      <c r="R6" s="112"/>
    </row>
    <row r="7" spans="2:18" ht="18" customHeight="1">
      <c r="B7" s="41" t="s">
        <v>194</v>
      </c>
      <c r="C7" s="11" t="s">
        <v>205</v>
      </c>
      <c r="D7" s="233">
        <v>1</v>
      </c>
      <c r="E7" s="46"/>
      <c r="F7" s="161"/>
      <c r="G7" s="161"/>
      <c r="H7" s="161">
        <v>1</v>
      </c>
      <c r="I7" s="161">
        <v>1.5</v>
      </c>
      <c r="J7" s="161">
        <v>1.5</v>
      </c>
      <c r="K7" s="161"/>
      <c r="L7" s="47"/>
      <c r="M7" s="139"/>
      <c r="N7" s="46">
        <f t="shared" ref="N7:N28" si="0">SUM(E7:K7)</f>
        <v>4</v>
      </c>
      <c r="O7" s="109">
        <f t="shared" ref="O7:O28" si="1">INT(SUMPRODUCT($E$5:$K$5,$E7:$K7))</f>
        <v>192800</v>
      </c>
      <c r="P7" s="71">
        <f t="shared" ref="P7:P28" si="2">SUM(L7:M7)</f>
        <v>0</v>
      </c>
      <c r="Q7" s="109">
        <f>INT(SUMPRODUCT($L5:$M5,$L7:$M7))</f>
        <v>0</v>
      </c>
      <c r="R7" s="113"/>
    </row>
    <row r="8" spans="2:18" ht="18" customHeight="1">
      <c r="B8" s="41" t="s">
        <v>195</v>
      </c>
      <c r="C8" s="311" t="s">
        <v>205</v>
      </c>
      <c r="D8" s="312">
        <v>1</v>
      </c>
      <c r="E8" s="313"/>
      <c r="F8" s="314"/>
      <c r="G8" s="314"/>
      <c r="H8" s="314"/>
      <c r="I8" s="314"/>
      <c r="J8" s="314"/>
      <c r="K8" s="314"/>
      <c r="L8" s="314"/>
      <c r="M8" s="315"/>
      <c r="N8" s="313">
        <f t="shared" si="0"/>
        <v>0</v>
      </c>
      <c r="O8" s="316">
        <f t="shared" si="1"/>
        <v>0</v>
      </c>
      <c r="P8" s="317">
        <f t="shared" si="2"/>
        <v>0</v>
      </c>
      <c r="Q8" s="316">
        <f>INT(SUMPRODUCT($L5:$M5,$L8:$M8))</f>
        <v>0</v>
      </c>
      <c r="R8" s="318"/>
    </row>
    <row r="9" spans="2:18" ht="18" customHeight="1">
      <c r="B9" s="309" t="s">
        <v>196</v>
      </c>
      <c r="C9" s="11" t="s">
        <v>205</v>
      </c>
      <c r="D9" s="233">
        <v>1</v>
      </c>
      <c r="E9" s="46"/>
      <c r="F9" s="161"/>
      <c r="G9" s="161"/>
      <c r="H9" s="161"/>
      <c r="I9" s="161"/>
      <c r="J9" s="161">
        <v>1.5</v>
      </c>
      <c r="K9" s="161">
        <v>12</v>
      </c>
      <c r="L9" s="47"/>
      <c r="M9" s="139"/>
      <c r="N9" s="46">
        <f t="shared" si="0"/>
        <v>13.5</v>
      </c>
      <c r="O9" s="109">
        <f t="shared" si="1"/>
        <v>493650</v>
      </c>
      <c r="P9" s="71">
        <f t="shared" si="2"/>
        <v>0</v>
      </c>
      <c r="Q9" s="109">
        <f>INT(SUMPRODUCT($L5:$M5,$L9:$M9))</f>
        <v>0</v>
      </c>
      <c r="R9" s="113" t="s">
        <v>206</v>
      </c>
    </row>
    <row r="10" spans="2:18" ht="18" customHeight="1">
      <c r="B10" s="308" t="s">
        <v>197</v>
      </c>
      <c r="C10" s="11" t="s">
        <v>205</v>
      </c>
      <c r="D10" s="233">
        <v>1</v>
      </c>
      <c r="E10" s="46"/>
      <c r="F10" s="161"/>
      <c r="G10" s="161"/>
      <c r="H10" s="161"/>
      <c r="I10" s="161"/>
      <c r="J10" s="161">
        <v>0.5</v>
      </c>
      <c r="K10" s="161">
        <v>4</v>
      </c>
      <c r="L10" s="47"/>
      <c r="M10" s="139"/>
      <c r="N10" s="46">
        <f t="shared" si="0"/>
        <v>4.5</v>
      </c>
      <c r="O10" s="109">
        <f t="shared" si="1"/>
        <v>164550</v>
      </c>
      <c r="P10" s="71">
        <f t="shared" si="2"/>
        <v>0</v>
      </c>
      <c r="Q10" s="109">
        <f>INT(SUMPRODUCT($L5:$M5,$L10:$M10))</f>
        <v>0</v>
      </c>
      <c r="R10" s="159" t="s">
        <v>207</v>
      </c>
    </row>
    <row r="11" spans="2:18" ht="18" customHeight="1">
      <c r="B11" s="310" t="s">
        <v>198</v>
      </c>
      <c r="C11" s="11" t="s">
        <v>205</v>
      </c>
      <c r="D11" s="233">
        <v>1</v>
      </c>
      <c r="E11" s="46"/>
      <c r="F11" s="161"/>
      <c r="G11" s="161"/>
      <c r="H11" s="161"/>
      <c r="I11" s="161"/>
      <c r="J11" s="161"/>
      <c r="K11" s="161">
        <v>2</v>
      </c>
      <c r="L11" s="47"/>
      <c r="M11" s="139"/>
      <c r="N11" s="46">
        <f t="shared" si="0"/>
        <v>2</v>
      </c>
      <c r="O11" s="109">
        <f t="shared" si="1"/>
        <v>72200</v>
      </c>
      <c r="P11" s="71">
        <f t="shared" si="2"/>
        <v>0</v>
      </c>
      <c r="Q11" s="109">
        <f>INT(SUMPRODUCT($L5:$M5,$L11:$M11))</f>
        <v>0</v>
      </c>
      <c r="R11" s="113" t="s">
        <v>206</v>
      </c>
    </row>
    <row r="12" spans="2:18" ht="18" customHeight="1">
      <c r="B12" s="308" t="s">
        <v>199</v>
      </c>
      <c r="C12" s="11" t="s">
        <v>205</v>
      </c>
      <c r="D12" s="233">
        <v>1</v>
      </c>
      <c r="E12" s="46"/>
      <c r="F12" s="161"/>
      <c r="G12" s="161"/>
      <c r="H12" s="161"/>
      <c r="I12" s="161"/>
      <c r="J12" s="161"/>
      <c r="K12" s="161">
        <v>1</v>
      </c>
      <c r="L12" s="47"/>
      <c r="M12" s="139"/>
      <c r="N12" s="46">
        <f t="shared" si="0"/>
        <v>1</v>
      </c>
      <c r="O12" s="109">
        <f t="shared" si="1"/>
        <v>36100</v>
      </c>
      <c r="P12" s="71">
        <f t="shared" si="2"/>
        <v>0</v>
      </c>
      <c r="Q12" s="109">
        <f>INT(SUMPRODUCT($L5:$M5,$L12:$M12))</f>
        <v>0</v>
      </c>
      <c r="R12" s="113" t="s">
        <v>207</v>
      </c>
    </row>
    <row r="13" spans="2:18" ht="18" customHeight="1">
      <c r="B13" s="41" t="s">
        <v>200</v>
      </c>
      <c r="C13" s="11" t="s">
        <v>205</v>
      </c>
      <c r="D13" s="233">
        <v>1</v>
      </c>
      <c r="E13" s="46"/>
      <c r="F13" s="161"/>
      <c r="G13" s="161"/>
      <c r="H13" s="161">
        <v>2</v>
      </c>
      <c r="I13" s="161">
        <v>3</v>
      </c>
      <c r="J13" s="161">
        <v>3</v>
      </c>
      <c r="K13" s="161">
        <v>9</v>
      </c>
      <c r="L13" s="47"/>
      <c r="M13" s="139"/>
      <c r="N13" s="46">
        <f t="shared" si="0"/>
        <v>17</v>
      </c>
      <c r="O13" s="109">
        <f t="shared" si="1"/>
        <v>710500</v>
      </c>
      <c r="P13" s="71">
        <f t="shared" si="2"/>
        <v>0</v>
      </c>
      <c r="Q13" s="109">
        <f>INT(SUMPRODUCT($L5:$M5,$L13:$M13))</f>
        <v>0</v>
      </c>
      <c r="R13" s="113"/>
    </row>
    <row r="14" spans="2:18" ht="18" customHeight="1">
      <c r="B14" s="41" t="s">
        <v>201</v>
      </c>
      <c r="C14" s="11" t="s">
        <v>205</v>
      </c>
      <c r="D14" s="233">
        <v>1</v>
      </c>
      <c r="E14" s="46"/>
      <c r="F14" s="161"/>
      <c r="G14" s="161">
        <v>1.5</v>
      </c>
      <c r="H14" s="161">
        <v>4</v>
      </c>
      <c r="I14" s="161">
        <v>4</v>
      </c>
      <c r="J14" s="161">
        <v>1</v>
      </c>
      <c r="K14" s="161"/>
      <c r="L14" s="47"/>
      <c r="M14" s="139"/>
      <c r="N14" s="46">
        <f t="shared" si="0"/>
        <v>10.5</v>
      </c>
      <c r="O14" s="109">
        <f t="shared" si="1"/>
        <v>573050</v>
      </c>
      <c r="P14" s="71">
        <f t="shared" si="2"/>
        <v>0</v>
      </c>
      <c r="Q14" s="109">
        <f>INT(SUMPRODUCT($L5:$M5,$L14:$M14))</f>
        <v>0</v>
      </c>
      <c r="R14" s="113"/>
    </row>
    <row r="15" spans="2:18" ht="18" customHeight="1">
      <c r="B15" s="41" t="s">
        <v>202</v>
      </c>
      <c r="C15" s="11" t="s">
        <v>205</v>
      </c>
      <c r="D15" s="233">
        <v>1</v>
      </c>
      <c r="E15" s="46"/>
      <c r="F15" s="47"/>
      <c r="G15" s="47"/>
      <c r="H15" s="47">
        <v>1</v>
      </c>
      <c r="I15" s="47">
        <v>2</v>
      </c>
      <c r="J15" s="47">
        <v>1</v>
      </c>
      <c r="K15" s="47"/>
      <c r="L15" s="47"/>
      <c r="M15" s="139"/>
      <c r="N15" s="46">
        <f t="shared" si="0"/>
        <v>4</v>
      </c>
      <c r="O15" s="109">
        <f t="shared" si="1"/>
        <v>196900</v>
      </c>
      <c r="P15" s="71">
        <f t="shared" si="2"/>
        <v>0</v>
      </c>
      <c r="Q15" s="109">
        <f>INT(SUMPRODUCT($L5:$M5,$L15:$M15))</f>
        <v>0</v>
      </c>
      <c r="R15" s="113"/>
    </row>
    <row r="16" spans="2:18" ht="18" customHeight="1">
      <c r="B16" s="41" t="s">
        <v>203</v>
      </c>
      <c r="C16" s="11" t="s">
        <v>205</v>
      </c>
      <c r="D16" s="233">
        <v>1</v>
      </c>
      <c r="E16" s="46"/>
      <c r="F16" s="47"/>
      <c r="G16" s="47">
        <v>1.5</v>
      </c>
      <c r="H16" s="47"/>
      <c r="I16" s="47"/>
      <c r="J16" s="47"/>
      <c r="K16" s="47"/>
      <c r="L16" s="47"/>
      <c r="M16" s="139"/>
      <c r="N16" s="46">
        <f t="shared" si="0"/>
        <v>1.5</v>
      </c>
      <c r="O16" s="109">
        <f t="shared" si="1"/>
        <v>100350</v>
      </c>
      <c r="P16" s="71">
        <f t="shared" si="2"/>
        <v>0</v>
      </c>
      <c r="Q16" s="109">
        <f>INT(SUMPRODUCT($L5:$M5,$L16:$M16))</f>
        <v>0</v>
      </c>
      <c r="R16" s="113"/>
    </row>
    <row r="17" spans="2:18" ht="18" customHeight="1">
      <c r="B17" s="41" t="s">
        <v>204</v>
      </c>
      <c r="C17" s="11" t="s">
        <v>205</v>
      </c>
      <c r="D17" s="233">
        <v>1</v>
      </c>
      <c r="E17" s="46"/>
      <c r="F17" s="47"/>
      <c r="G17" s="47"/>
      <c r="H17" s="47">
        <v>1</v>
      </c>
      <c r="I17" s="47">
        <v>4</v>
      </c>
      <c r="J17" s="47">
        <v>1</v>
      </c>
      <c r="K17" s="47"/>
      <c r="L17" s="47"/>
      <c r="M17" s="139"/>
      <c r="N17" s="46">
        <f t="shared" si="0"/>
        <v>6</v>
      </c>
      <c r="O17" s="109">
        <f t="shared" si="1"/>
        <v>293900</v>
      </c>
      <c r="P17" s="71">
        <f t="shared" si="2"/>
        <v>0</v>
      </c>
      <c r="Q17" s="109">
        <f>INT(SUMPRODUCT($L5:$M5,$L17:$M17))</f>
        <v>0</v>
      </c>
      <c r="R17" s="113"/>
    </row>
    <row r="18" spans="2:18" ht="18" customHeight="1">
      <c r="B18" s="41"/>
      <c r="C18" s="11"/>
      <c r="D18" s="233"/>
      <c r="E18" s="46"/>
      <c r="F18" s="47"/>
      <c r="G18" s="47"/>
      <c r="H18" s="47"/>
      <c r="I18" s="47"/>
      <c r="J18" s="47"/>
      <c r="K18" s="47"/>
      <c r="L18" s="47"/>
      <c r="M18" s="139"/>
      <c r="N18" s="46">
        <f t="shared" si="0"/>
        <v>0</v>
      </c>
      <c r="O18" s="109">
        <f t="shared" si="1"/>
        <v>0</v>
      </c>
      <c r="P18" s="71">
        <f t="shared" si="2"/>
        <v>0</v>
      </c>
      <c r="Q18" s="109">
        <f>INT(SUMPRODUCT($L5:$M5,$L18:$M18))</f>
        <v>0</v>
      </c>
      <c r="R18" s="113"/>
    </row>
    <row r="19" spans="2:18" ht="18" customHeight="1">
      <c r="B19" s="41"/>
      <c r="C19" s="11"/>
      <c r="D19" s="233"/>
      <c r="E19" s="46"/>
      <c r="F19" s="47"/>
      <c r="G19" s="47"/>
      <c r="H19" s="47"/>
      <c r="I19" s="47"/>
      <c r="J19" s="47"/>
      <c r="K19" s="47"/>
      <c r="L19" s="47"/>
      <c r="M19" s="139"/>
      <c r="N19" s="46">
        <f t="shared" si="0"/>
        <v>0</v>
      </c>
      <c r="O19" s="109">
        <f t="shared" si="1"/>
        <v>0</v>
      </c>
      <c r="P19" s="71">
        <f t="shared" si="2"/>
        <v>0</v>
      </c>
      <c r="Q19" s="109">
        <f>INT(SUMPRODUCT($L5:$M5,$L19:$M19))</f>
        <v>0</v>
      </c>
      <c r="R19" s="113"/>
    </row>
    <row r="20" spans="2:18" ht="18" customHeight="1">
      <c r="B20" s="41"/>
      <c r="C20" s="11"/>
      <c r="D20" s="233"/>
      <c r="E20" s="46"/>
      <c r="F20" s="47"/>
      <c r="G20" s="47"/>
      <c r="H20" s="47"/>
      <c r="I20" s="47"/>
      <c r="J20" s="47"/>
      <c r="K20" s="47"/>
      <c r="L20" s="47"/>
      <c r="M20" s="139"/>
      <c r="N20" s="46">
        <f t="shared" ref="N20:N27" si="3">SUM(E20:K20)</f>
        <v>0</v>
      </c>
      <c r="O20" s="109">
        <f t="shared" si="1"/>
        <v>0</v>
      </c>
      <c r="P20" s="71">
        <f t="shared" ref="P20:P27" si="4">SUM(L20:M20)</f>
        <v>0</v>
      </c>
      <c r="Q20" s="109">
        <f>INT(SUMPRODUCT($L5:$M5,$L20:$M20))</f>
        <v>0</v>
      </c>
      <c r="R20" s="113"/>
    </row>
    <row r="21" spans="2:18" ht="18" customHeight="1">
      <c r="B21" s="41"/>
      <c r="C21" s="11"/>
      <c r="D21" s="233"/>
      <c r="E21" s="46"/>
      <c r="F21" s="47"/>
      <c r="G21" s="47"/>
      <c r="H21" s="47"/>
      <c r="I21" s="47"/>
      <c r="J21" s="47"/>
      <c r="K21" s="47"/>
      <c r="L21" s="47"/>
      <c r="M21" s="139"/>
      <c r="N21" s="46">
        <f t="shared" si="3"/>
        <v>0</v>
      </c>
      <c r="O21" s="109">
        <f t="shared" si="1"/>
        <v>0</v>
      </c>
      <c r="P21" s="71">
        <f t="shared" si="4"/>
        <v>0</v>
      </c>
      <c r="Q21" s="109">
        <f>INT(SUMPRODUCT($L5:$M5,$L21:$M21))</f>
        <v>0</v>
      </c>
      <c r="R21" s="113"/>
    </row>
    <row r="22" spans="2:18" ht="18" customHeight="1">
      <c r="B22" s="41"/>
      <c r="C22" s="11"/>
      <c r="D22" s="233"/>
      <c r="E22" s="46"/>
      <c r="F22" s="47"/>
      <c r="G22" s="47"/>
      <c r="H22" s="47"/>
      <c r="I22" s="47"/>
      <c r="J22" s="47"/>
      <c r="K22" s="47"/>
      <c r="L22" s="47"/>
      <c r="M22" s="139"/>
      <c r="N22" s="46">
        <f t="shared" si="3"/>
        <v>0</v>
      </c>
      <c r="O22" s="109">
        <f t="shared" si="1"/>
        <v>0</v>
      </c>
      <c r="P22" s="71">
        <f t="shared" si="4"/>
        <v>0</v>
      </c>
      <c r="Q22" s="109">
        <f>INT(SUMPRODUCT($L5:$M5,$L22:$M22))</f>
        <v>0</v>
      </c>
      <c r="R22" s="113"/>
    </row>
    <row r="23" spans="2:18" ht="18" customHeight="1">
      <c r="B23" s="41"/>
      <c r="C23" s="11"/>
      <c r="D23" s="233"/>
      <c r="E23" s="46"/>
      <c r="F23" s="47"/>
      <c r="G23" s="47"/>
      <c r="H23" s="47"/>
      <c r="I23" s="47"/>
      <c r="J23" s="47"/>
      <c r="K23" s="47"/>
      <c r="L23" s="47"/>
      <c r="M23" s="139"/>
      <c r="N23" s="46">
        <f t="shared" si="3"/>
        <v>0</v>
      </c>
      <c r="O23" s="109">
        <f t="shared" si="1"/>
        <v>0</v>
      </c>
      <c r="P23" s="71">
        <f t="shared" si="4"/>
        <v>0</v>
      </c>
      <c r="Q23" s="109">
        <f>INT(SUMPRODUCT($L5:$M5,$L23:$M23))</f>
        <v>0</v>
      </c>
      <c r="R23" s="113"/>
    </row>
    <row r="24" spans="2:18" ht="18" customHeight="1">
      <c r="B24" s="41"/>
      <c r="C24" s="11"/>
      <c r="D24" s="233"/>
      <c r="E24" s="46"/>
      <c r="F24" s="47"/>
      <c r="G24" s="47"/>
      <c r="H24" s="47"/>
      <c r="I24" s="47"/>
      <c r="J24" s="47"/>
      <c r="K24" s="47"/>
      <c r="L24" s="47"/>
      <c r="M24" s="139"/>
      <c r="N24" s="46">
        <f t="shared" si="3"/>
        <v>0</v>
      </c>
      <c r="O24" s="109">
        <f t="shared" si="1"/>
        <v>0</v>
      </c>
      <c r="P24" s="71">
        <f t="shared" si="4"/>
        <v>0</v>
      </c>
      <c r="Q24" s="109">
        <f>INT(SUMPRODUCT($L5:$M5,$L24:$M24))</f>
        <v>0</v>
      </c>
      <c r="R24" s="113"/>
    </row>
    <row r="25" spans="2:18" ht="18" customHeight="1">
      <c r="B25" s="41"/>
      <c r="C25" s="11"/>
      <c r="D25" s="233"/>
      <c r="E25" s="46"/>
      <c r="F25" s="47"/>
      <c r="G25" s="47"/>
      <c r="H25" s="47"/>
      <c r="I25" s="47"/>
      <c r="J25" s="47"/>
      <c r="K25" s="47"/>
      <c r="L25" s="47"/>
      <c r="M25" s="139"/>
      <c r="N25" s="46">
        <f t="shared" si="3"/>
        <v>0</v>
      </c>
      <c r="O25" s="109">
        <f t="shared" si="1"/>
        <v>0</v>
      </c>
      <c r="P25" s="71">
        <f t="shared" si="4"/>
        <v>0</v>
      </c>
      <c r="Q25" s="109">
        <f>INT(SUMPRODUCT($L5:$M5,$L25:$M25))</f>
        <v>0</v>
      </c>
      <c r="R25" s="113"/>
    </row>
    <row r="26" spans="2:18" ht="18" customHeight="1">
      <c r="B26" s="41"/>
      <c r="C26" s="11"/>
      <c r="D26" s="233"/>
      <c r="E26" s="46"/>
      <c r="F26" s="47"/>
      <c r="G26" s="47"/>
      <c r="H26" s="47"/>
      <c r="I26" s="47"/>
      <c r="J26" s="47"/>
      <c r="K26" s="47"/>
      <c r="L26" s="47"/>
      <c r="M26" s="139"/>
      <c r="N26" s="46">
        <f t="shared" si="3"/>
        <v>0</v>
      </c>
      <c r="O26" s="109">
        <f t="shared" si="1"/>
        <v>0</v>
      </c>
      <c r="P26" s="71">
        <f t="shared" si="4"/>
        <v>0</v>
      </c>
      <c r="Q26" s="109">
        <f>INT(SUMPRODUCT($L5:$M5,$L26:$M26))</f>
        <v>0</v>
      </c>
      <c r="R26" s="113"/>
    </row>
    <row r="27" spans="2:18" ht="18" customHeight="1">
      <c r="B27" s="41"/>
      <c r="C27" s="11"/>
      <c r="D27" s="233"/>
      <c r="E27" s="46"/>
      <c r="F27" s="47"/>
      <c r="G27" s="47"/>
      <c r="H27" s="47"/>
      <c r="I27" s="47"/>
      <c r="J27" s="47"/>
      <c r="K27" s="47"/>
      <c r="L27" s="47"/>
      <c r="M27" s="139"/>
      <c r="N27" s="46">
        <f t="shared" si="3"/>
        <v>0</v>
      </c>
      <c r="O27" s="109">
        <f t="shared" si="1"/>
        <v>0</v>
      </c>
      <c r="P27" s="71">
        <f t="shared" si="4"/>
        <v>0</v>
      </c>
      <c r="Q27" s="109">
        <f>INT(SUMPRODUCT($L5:$M5,$L27:$M27))</f>
        <v>0</v>
      </c>
      <c r="R27" s="113"/>
    </row>
    <row r="28" spans="2:18" ht="18" customHeight="1" thickBot="1">
      <c r="B28" s="43"/>
      <c r="C28" s="229"/>
      <c r="D28" s="234"/>
      <c r="E28" s="48"/>
      <c r="F28" s="49"/>
      <c r="G28" s="49"/>
      <c r="H28" s="49"/>
      <c r="I28" s="49"/>
      <c r="J28" s="49"/>
      <c r="K28" s="49"/>
      <c r="L28" s="49"/>
      <c r="M28" s="140"/>
      <c r="N28" s="114">
        <f t="shared" si="0"/>
        <v>0</v>
      </c>
      <c r="O28" s="115">
        <f t="shared" si="1"/>
        <v>0</v>
      </c>
      <c r="P28" s="116">
        <f t="shared" si="2"/>
        <v>0</v>
      </c>
      <c r="Q28" s="117">
        <f>INT(SUMPRODUCT($L5:$M5,$L28:$M28))</f>
        <v>0</v>
      </c>
      <c r="R28" s="118"/>
    </row>
    <row r="29" spans="2:18" ht="18" customHeight="1" thickTop="1" thickBot="1">
      <c r="B29" s="38" t="s">
        <v>11</v>
      </c>
      <c r="C29" s="230"/>
      <c r="D29" s="235"/>
      <c r="E29" s="236">
        <f t="shared" ref="E29:Q29" si="5">SUM(E6:E28)</f>
        <v>0</v>
      </c>
      <c r="F29" s="50">
        <f t="shared" si="5"/>
        <v>0</v>
      </c>
      <c r="G29" s="50">
        <f t="shared" si="5"/>
        <v>3.5</v>
      </c>
      <c r="H29" s="50">
        <f t="shared" si="5"/>
        <v>10.5</v>
      </c>
      <c r="I29" s="50">
        <f t="shared" si="5"/>
        <v>15.5</v>
      </c>
      <c r="J29" s="50">
        <f t="shared" si="5"/>
        <v>9.5</v>
      </c>
      <c r="K29" s="50">
        <f t="shared" si="5"/>
        <v>28</v>
      </c>
      <c r="L29" s="72">
        <f t="shared" si="5"/>
        <v>0</v>
      </c>
      <c r="M29" s="141">
        <f t="shared" si="5"/>
        <v>0</v>
      </c>
      <c r="N29" s="119">
        <f t="shared" si="5"/>
        <v>67</v>
      </c>
      <c r="O29" s="120">
        <f t="shared" si="5"/>
        <v>3005350</v>
      </c>
      <c r="P29" s="121">
        <f t="shared" si="5"/>
        <v>0</v>
      </c>
      <c r="Q29" s="122">
        <f t="shared" si="5"/>
        <v>0</v>
      </c>
      <c r="R29" s="123"/>
    </row>
    <row r="30" spans="2:18" ht="18" hidden="1" customHeight="1" thickBot="1">
      <c r="B30" s="208" t="s">
        <v>128</v>
      </c>
      <c r="C30" s="226"/>
      <c r="D30" s="226"/>
      <c r="E30" s="258">
        <f>INT(E5*E29)</f>
        <v>0</v>
      </c>
      <c r="F30" s="259">
        <f t="shared" ref="F30:M30" si="6">INT(F5*F29)</f>
        <v>0</v>
      </c>
      <c r="G30" s="259">
        <f t="shared" si="6"/>
        <v>234150</v>
      </c>
      <c r="H30" s="259">
        <f t="shared" si="6"/>
        <v>625800</v>
      </c>
      <c r="I30" s="259">
        <f t="shared" si="6"/>
        <v>751750</v>
      </c>
      <c r="J30" s="259">
        <f t="shared" si="6"/>
        <v>382850</v>
      </c>
      <c r="K30" s="259">
        <f t="shared" si="6"/>
        <v>1010800</v>
      </c>
      <c r="L30" s="259">
        <f t="shared" si="6"/>
        <v>0</v>
      </c>
      <c r="M30" s="260">
        <f t="shared" si="6"/>
        <v>0</v>
      </c>
      <c r="N30" s="209"/>
      <c r="O30" s="211">
        <f>SUM(E30:K30)</f>
        <v>3005350</v>
      </c>
      <c r="P30" s="210"/>
      <c r="Q30" s="211"/>
      <c r="R30" s="212"/>
    </row>
    <row r="31" spans="2:18" ht="18" customHeight="1">
      <c r="B31" s="33"/>
      <c r="C31" s="33"/>
      <c r="D31" s="33"/>
      <c r="E31" s="33"/>
      <c r="F31" s="33"/>
      <c r="G31" s="33"/>
      <c r="H31" s="33"/>
      <c r="I31" s="33"/>
      <c r="J31" s="33"/>
      <c r="K31" s="33"/>
      <c r="L31" s="35"/>
      <c r="M31" s="35"/>
      <c r="N31" s="35"/>
      <c r="O31" s="23"/>
      <c r="P31" s="23"/>
      <c r="Q31" s="23"/>
      <c r="R31" s="23" t="s">
        <v>15</v>
      </c>
    </row>
    <row r="33" spans="2:13" ht="18" customHeight="1">
      <c r="B33" s="36"/>
      <c r="C33" s="36"/>
      <c r="D33" s="36"/>
      <c r="E33" s="36"/>
      <c r="F33" s="36"/>
      <c r="G33" s="36"/>
      <c r="H33" s="36"/>
      <c r="I33" s="36"/>
      <c r="J33" s="36"/>
      <c r="K33" s="36"/>
      <c r="L33" s="36"/>
      <c r="M33" s="36"/>
    </row>
    <row r="34" spans="2:13" ht="18" customHeight="1">
      <c r="B34" s="36"/>
      <c r="C34" s="36"/>
      <c r="D34" s="36"/>
      <c r="E34" s="33"/>
      <c r="F34" s="33"/>
      <c r="G34" s="33"/>
      <c r="H34" s="36"/>
      <c r="I34" s="34"/>
      <c r="J34" s="33"/>
      <c r="K34" s="33"/>
      <c r="L34" s="33"/>
      <c r="M34" s="33"/>
    </row>
    <row r="35" spans="2:13" ht="18" customHeight="1">
      <c r="B35" s="33"/>
      <c r="C35" s="60"/>
      <c r="D35" s="60"/>
      <c r="E35" s="61"/>
      <c r="F35" s="61"/>
      <c r="G35" s="61"/>
      <c r="H35" s="61"/>
      <c r="I35" s="61"/>
      <c r="J35" s="61"/>
      <c r="K35" s="61"/>
      <c r="L35" s="61"/>
      <c r="M35" s="61"/>
    </row>
    <row r="36" spans="2:13" ht="18" customHeight="1">
      <c r="B36" s="33"/>
      <c r="C36" s="33"/>
      <c r="D36" s="33"/>
      <c r="E36" s="63"/>
      <c r="F36" s="63"/>
      <c r="G36" s="63"/>
      <c r="H36" s="63"/>
      <c r="I36" s="63"/>
      <c r="J36" s="63"/>
      <c r="K36" s="63"/>
      <c r="L36" s="63"/>
      <c r="M36" s="63"/>
    </row>
    <row r="37" spans="2:13" ht="18" customHeight="1">
      <c r="B37" s="64"/>
      <c r="C37" s="64"/>
      <c r="D37" s="64"/>
      <c r="E37" s="65"/>
      <c r="F37" s="65"/>
      <c r="G37" s="65"/>
      <c r="H37" s="65"/>
      <c r="I37" s="65"/>
      <c r="J37" s="65"/>
      <c r="K37" s="65"/>
      <c r="L37" s="65"/>
      <c r="M37" s="65"/>
    </row>
    <row r="38" spans="2:13" ht="18" customHeight="1">
      <c r="B38" s="64"/>
      <c r="C38" s="64"/>
      <c r="D38" s="64"/>
      <c r="E38" s="65"/>
      <c r="F38" s="65"/>
      <c r="G38" s="65"/>
      <c r="H38" s="65"/>
      <c r="I38" s="65"/>
      <c r="J38" s="65"/>
      <c r="K38" s="65"/>
      <c r="L38" s="65"/>
      <c r="M38" s="65"/>
    </row>
    <row r="39" spans="2:13" ht="18" customHeight="1">
      <c r="B39" s="64"/>
      <c r="C39" s="64"/>
      <c r="D39" s="64"/>
      <c r="E39" s="65"/>
      <c r="F39" s="65"/>
      <c r="G39" s="65"/>
      <c r="H39" s="65"/>
      <c r="I39" s="65"/>
      <c r="J39" s="65"/>
      <c r="K39" s="65"/>
      <c r="L39" s="65"/>
      <c r="M39" s="65"/>
    </row>
    <row r="40" spans="2:13" ht="18" customHeight="1">
      <c r="B40" s="64"/>
      <c r="C40" s="64"/>
      <c r="D40" s="64"/>
      <c r="E40" s="65"/>
      <c r="F40" s="65"/>
      <c r="G40" s="65"/>
      <c r="H40" s="65"/>
      <c r="I40" s="65"/>
      <c r="J40" s="65"/>
      <c r="K40" s="65"/>
      <c r="L40" s="65"/>
      <c r="M40" s="65"/>
    </row>
    <row r="41" spans="2:13" ht="18" customHeight="1">
      <c r="B41" s="64"/>
      <c r="C41" s="64"/>
      <c r="D41" s="64"/>
      <c r="E41" s="65"/>
      <c r="F41" s="65"/>
      <c r="G41" s="65"/>
      <c r="H41" s="65"/>
      <c r="I41" s="65"/>
      <c r="J41" s="65"/>
      <c r="K41" s="65"/>
      <c r="L41" s="65"/>
      <c r="M41" s="65"/>
    </row>
    <row r="42" spans="2:13" ht="18" customHeight="1">
      <c r="B42" s="64"/>
      <c r="C42" s="64"/>
      <c r="D42" s="64"/>
      <c r="E42" s="65"/>
      <c r="F42" s="65"/>
      <c r="G42" s="65"/>
      <c r="H42" s="65"/>
      <c r="I42" s="65"/>
      <c r="J42" s="65"/>
      <c r="K42" s="65"/>
      <c r="L42" s="65"/>
      <c r="M42" s="65"/>
    </row>
    <row r="43" spans="2:13" ht="18" customHeight="1">
      <c r="B43" s="64"/>
      <c r="C43" s="64"/>
      <c r="D43" s="64"/>
      <c r="E43" s="65"/>
      <c r="F43" s="65"/>
      <c r="G43" s="65"/>
      <c r="H43" s="65"/>
      <c r="I43" s="65"/>
      <c r="J43" s="65"/>
      <c r="K43" s="65"/>
      <c r="L43" s="65"/>
      <c r="M43" s="65"/>
    </row>
    <row r="44" spans="2:13" ht="18" customHeight="1">
      <c r="B44" s="64"/>
      <c r="C44" s="64"/>
      <c r="D44" s="64"/>
      <c r="E44" s="65"/>
      <c r="F44" s="65"/>
      <c r="G44" s="65"/>
      <c r="H44" s="65"/>
      <c r="I44" s="65"/>
      <c r="J44" s="65"/>
      <c r="K44" s="65"/>
      <c r="L44" s="65"/>
      <c r="M44" s="65"/>
    </row>
    <row r="45" spans="2:13" ht="18" customHeight="1">
      <c r="B45" s="64"/>
      <c r="C45" s="64"/>
      <c r="D45" s="64"/>
      <c r="E45" s="65"/>
      <c r="F45" s="65"/>
      <c r="G45" s="65"/>
      <c r="H45" s="65"/>
      <c r="I45" s="65"/>
      <c r="J45" s="65"/>
      <c r="K45" s="65"/>
      <c r="L45" s="65"/>
      <c r="M45" s="65"/>
    </row>
    <row r="46" spans="2:13" ht="18" customHeight="1">
      <c r="B46" s="64"/>
      <c r="C46" s="64"/>
      <c r="D46" s="64"/>
      <c r="E46" s="65"/>
      <c r="F46" s="65"/>
      <c r="G46" s="65"/>
      <c r="H46" s="65"/>
      <c r="I46" s="65"/>
      <c r="J46" s="65"/>
      <c r="K46" s="65"/>
      <c r="L46" s="65"/>
      <c r="M46" s="65"/>
    </row>
    <row r="47" spans="2:13" ht="18" customHeight="1">
      <c r="B47" s="64"/>
      <c r="C47" s="64"/>
      <c r="D47" s="64"/>
      <c r="E47" s="65"/>
      <c r="F47" s="65"/>
      <c r="G47" s="65"/>
      <c r="H47" s="65"/>
      <c r="I47" s="65"/>
      <c r="J47" s="65"/>
      <c r="K47" s="65"/>
      <c r="L47" s="65"/>
      <c r="M47" s="65"/>
    </row>
    <row r="48" spans="2:13" ht="18" customHeight="1">
      <c r="B48" s="64"/>
      <c r="C48" s="64"/>
      <c r="D48" s="64"/>
      <c r="E48" s="65"/>
      <c r="F48" s="65"/>
      <c r="G48" s="65"/>
      <c r="H48" s="65"/>
      <c r="I48" s="65"/>
      <c r="J48" s="65"/>
      <c r="K48" s="65"/>
      <c r="L48" s="65"/>
      <c r="M48" s="65"/>
    </row>
  </sheetData>
  <mergeCells count="2">
    <mergeCell ref="N4:O4"/>
    <mergeCell ref="P4:Q4"/>
  </mergeCells>
  <phoneticPr fontId="26"/>
  <dataValidations count="1">
    <dataValidation type="list" allowBlank="1" showInputMessage="1" showErrorMessage="1" sqref="P3:Q3" xr:uid="{00000000-0002-0000-0200-000000000000}">
      <formula1>$R$2:$R$4</formula1>
    </dataValidation>
  </dataValidations>
  <printOptions horizontalCentered="1" verticalCentered="1" gridLinesSet="0"/>
  <pageMargins left="0" right="0" top="0.59055118110236227" bottom="0" header="0" footer="0"/>
  <pageSetup paperSize="9" scale="98" orientation="landscape" r:id="rId1"/>
  <headerFooter alignWithMargins="0"/>
  <colBreaks count="1" manualBreakCount="1">
    <brk id="1" min="1" max="23" man="1"/>
  </colBreaks>
  <drawing r:id="rId2"/>
  <legacyDrawing r:id="rId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200-000001000000}">
          <x14:formula1>
            <xm:f>見積表紙!$A$44:$A$46</xm:f>
          </x14:formula1>
          <xm:sqref>O3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3:H1266"/>
  <sheetViews>
    <sheetView showGridLines="0" showZeros="0" view="pageBreakPreview" topLeftCell="B1" zoomScaleNormal="100" zoomScaleSheetLayoutView="100" workbookViewId="0">
      <selection activeCell="B6" sqref="B6"/>
    </sheetView>
  </sheetViews>
  <sheetFormatPr defaultRowHeight="12"/>
  <cols>
    <col min="2" max="2" width="28.69921875" style="1" customWidth="1"/>
    <col min="3" max="3" width="28.09765625" style="1" customWidth="1"/>
    <col min="4" max="4" width="6" style="1" customWidth="1"/>
    <col min="5" max="5" width="8.3984375" style="1" customWidth="1"/>
    <col min="6" max="6" width="13.69921875" style="1" customWidth="1"/>
    <col min="7" max="7" width="16.59765625" style="1" customWidth="1"/>
    <col min="8" max="8" width="34" style="1" customWidth="1"/>
  </cols>
  <sheetData>
    <row r="3" spans="2:8" ht="18" customHeight="1" thickBot="1">
      <c r="B3" s="1" t="str">
        <f>直接人件費!B2</f>
        <v>田原本停車場線　歩道設置検討業務委託（防災・安全（道環））</v>
      </c>
    </row>
    <row r="4" spans="2:8" ht="18" customHeight="1" thickBot="1">
      <c r="B4" s="78"/>
      <c r="C4" s="3"/>
      <c r="D4" s="4"/>
      <c r="E4" s="268"/>
      <c r="F4" s="269" t="s">
        <v>159</v>
      </c>
      <c r="G4" s="5"/>
      <c r="H4" s="270"/>
    </row>
    <row r="5" spans="2:8" ht="18" customHeight="1" thickBot="1">
      <c r="B5" s="6" t="s">
        <v>2</v>
      </c>
      <c r="C5" s="7" t="s">
        <v>3</v>
      </c>
      <c r="D5" s="7" t="s">
        <v>4</v>
      </c>
      <c r="E5" s="7" t="s">
        <v>5</v>
      </c>
      <c r="F5" s="7" t="s">
        <v>6</v>
      </c>
      <c r="G5" s="7" t="s">
        <v>7</v>
      </c>
      <c r="H5" s="8" t="s">
        <v>8</v>
      </c>
    </row>
    <row r="6" spans="2:8" ht="18" customHeight="1">
      <c r="B6" s="286"/>
      <c r="C6" s="80"/>
      <c r="D6" s="81"/>
      <c r="E6" s="82"/>
      <c r="F6" s="289"/>
      <c r="G6" s="83"/>
      <c r="H6" s="84"/>
    </row>
    <row r="7" spans="2:8" ht="18" customHeight="1">
      <c r="B7" s="287"/>
      <c r="C7" s="25"/>
      <c r="D7" s="85"/>
      <c r="E7" s="271"/>
      <c r="F7" s="272"/>
      <c r="G7" s="12"/>
      <c r="H7" s="13"/>
    </row>
    <row r="8" spans="2:8" ht="18" customHeight="1">
      <c r="B8" s="287"/>
      <c r="C8" s="25"/>
      <c r="D8" s="85"/>
      <c r="E8" s="271"/>
      <c r="F8" s="272"/>
      <c r="G8" s="12"/>
      <c r="H8" s="233"/>
    </row>
    <row r="9" spans="2:8" ht="18" customHeight="1">
      <c r="B9" s="158"/>
      <c r="C9" s="25"/>
      <c r="D9" s="85"/>
      <c r="E9" s="271"/>
      <c r="F9" s="272"/>
      <c r="G9" s="12"/>
      <c r="H9" s="13"/>
    </row>
    <row r="10" spans="2:8" ht="18" customHeight="1">
      <c r="B10" s="158"/>
      <c r="C10" s="25"/>
      <c r="D10" s="11"/>
      <c r="E10" s="271"/>
      <c r="F10" s="272"/>
      <c r="G10" s="12"/>
      <c r="H10" s="13"/>
    </row>
    <row r="11" spans="2:8" ht="18" customHeight="1">
      <c r="B11" s="158"/>
      <c r="C11" s="25"/>
      <c r="D11" s="11"/>
      <c r="E11" s="271"/>
      <c r="F11" s="272"/>
      <c r="G11" s="12"/>
      <c r="H11" s="13"/>
    </row>
    <row r="12" spans="2:8" ht="18" customHeight="1">
      <c r="B12" s="158"/>
      <c r="C12" s="25"/>
      <c r="D12" s="11"/>
      <c r="E12" s="271"/>
      <c r="F12" s="272"/>
      <c r="G12" s="12"/>
      <c r="H12" s="13"/>
    </row>
    <row r="13" spans="2:8" ht="18" customHeight="1">
      <c r="B13" s="158"/>
      <c r="C13" s="25"/>
      <c r="D13" s="11"/>
      <c r="E13" s="271"/>
      <c r="F13" s="272"/>
      <c r="G13" s="12"/>
      <c r="H13" s="13"/>
    </row>
    <row r="14" spans="2:8" ht="18" customHeight="1">
      <c r="B14" s="158"/>
      <c r="C14" s="25"/>
      <c r="D14" s="11"/>
      <c r="E14" s="271"/>
      <c r="F14" s="272"/>
      <c r="G14" s="12"/>
      <c r="H14" s="13"/>
    </row>
    <row r="15" spans="2:8" ht="18" customHeight="1">
      <c r="B15" s="158"/>
      <c r="C15" s="25"/>
      <c r="D15" s="11"/>
      <c r="E15" s="271"/>
      <c r="F15" s="272"/>
      <c r="G15" s="12"/>
      <c r="H15" s="13"/>
    </row>
    <row r="16" spans="2:8" ht="18" customHeight="1">
      <c r="B16" s="158"/>
      <c r="C16" s="25"/>
      <c r="D16" s="11"/>
      <c r="E16" s="271"/>
      <c r="F16" s="272"/>
      <c r="G16" s="12"/>
      <c r="H16" s="13"/>
    </row>
    <row r="17" spans="2:8" ht="18" customHeight="1">
      <c r="B17" s="158"/>
      <c r="C17" s="25"/>
      <c r="D17" s="11"/>
      <c r="E17" s="271"/>
      <c r="F17" s="272"/>
      <c r="G17" s="12"/>
      <c r="H17" s="13"/>
    </row>
    <row r="18" spans="2:8" ht="18" customHeight="1">
      <c r="B18" s="158"/>
      <c r="C18" s="25"/>
      <c r="D18" s="11"/>
      <c r="E18" s="271"/>
      <c r="F18" s="271"/>
      <c r="G18" s="12"/>
      <c r="H18" s="233"/>
    </row>
    <row r="19" spans="2:8" ht="18" customHeight="1">
      <c r="B19" s="158"/>
      <c r="C19" s="25"/>
      <c r="D19" s="11"/>
      <c r="E19" s="271"/>
      <c r="F19" s="273"/>
      <c r="G19" s="12"/>
      <c r="H19" s="274"/>
    </row>
    <row r="20" spans="2:8" ht="18" customHeight="1">
      <c r="B20" s="158"/>
      <c r="C20" s="25"/>
      <c r="D20" s="11"/>
      <c r="E20" s="271"/>
      <c r="F20" s="273"/>
      <c r="G20" s="12"/>
      <c r="H20" s="13"/>
    </row>
    <row r="21" spans="2:8" ht="18" customHeight="1">
      <c r="B21" s="158"/>
      <c r="C21" s="25"/>
      <c r="D21" s="11"/>
      <c r="E21" s="271"/>
      <c r="F21" s="273"/>
      <c r="G21" s="12"/>
      <c r="H21" s="13"/>
    </row>
    <row r="22" spans="2:8" ht="18" customHeight="1">
      <c r="B22" s="158"/>
      <c r="C22" s="11"/>
      <c r="D22" s="11"/>
      <c r="E22" s="271"/>
      <c r="F22" s="273"/>
      <c r="G22" s="12"/>
      <c r="H22" s="275"/>
    </row>
    <row r="23" spans="2:8" ht="18" customHeight="1">
      <c r="B23" s="158"/>
      <c r="C23" s="11"/>
      <c r="D23" s="11"/>
      <c r="E23" s="271"/>
      <c r="F23" s="276"/>
      <c r="G23" s="12"/>
      <c r="H23" s="277"/>
    </row>
    <row r="24" spans="2:8" ht="18" customHeight="1">
      <c r="B24" s="158"/>
      <c r="C24" s="278"/>
      <c r="D24" s="11"/>
      <c r="E24" s="271"/>
      <c r="F24" s="276"/>
      <c r="G24" s="12"/>
      <c r="H24" s="279"/>
    </row>
    <row r="25" spans="2:8" ht="18" customHeight="1">
      <c r="B25" s="288"/>
      <c r="C25" s="280"/>
      <c r="D25" s="281"/>
      <c r="E25" s="282"/>
      <c r="F25" s="283"/>
      <c r="G25" s="284"/>
      <c r="H25" s="285"/>
    </row>
    <row r="26" spans="2:8" ht="18" customHeight="1" thickBot="1">
      <c r="B26" s="100" t="s">
        <v>10</v>
      </c>
      <c r="C26" s="96"/>
      <c r="D26" s="101"/>
      <c r="E26" s="102"/>
      <c r="F26" s="103"/>
      <c r="G26" s="97">
        <f>SUM(G6:G25)</f>
        <v>0</v>
      </c>
      <c r="H26" s="99"/>
    </row>
    <row r="27" spans="2:8" ht="18" customHeight="1">
      <c r="B27" s="17"/>
      <c r="C27" s="17"/>
      <c r="D27" s="17"/>
      <c r="E27" s="17"/>
      <c r="F27" s="18"/>
      <c r="G27" s="21"/>
      <c r="H27" s="22" t="s">
        <v>15</v>
      </c>
    </row>
    <row r="28" spans="2:8" ht="18" customHeight="1"/>
    <row r="29" spans="2:8" ht="18" customHeight="1"/>
    <row r="30" spans="2:8" ht="18" customHeight="1"/>
    <row r="31" spans="2:8" ht="18" customHeight="1"/>
    <row r="32" spans="2:8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  <row r="160" ht="18" customHeight="1"/>
    <row r="161" ht="18" customHeight="1"/>
    <row r="162" ht="18" customHeight="1"/>
    <row r="163" ht="18" customHeight="1"/>
    <row r="164" ht="18" customHeight="1"/>
    <row r="165" ht="18" customHeight="1"/>
    <row r="166" ht="18" customHeight="1"/>
    <row r="167" ht="18" customHeight="1"/>
    <row r="168" ht="18" customHeight="1"/>
    <row r="169" ht="18" customHeight="1"/>
    <row r="170" ht="18" customHeight="1"/>
    <row r="171" ht="18" customHeight="1"/>
    <row r="172" ht="18" customHeight="1"/>
    <row r="173" ht="18" customHeight="1"/>
    <row r="174" ht="18" customHeight="1"/>
    <row r="175" ht="18" customHeight="1"/>
    <row r="176" ht="18" customHeight="1"/>
    <row r="177" ht="18" customHeight="1"/>
    <row r="178" ht="18" customHeight="1"/>
    <row r="179" ht="18" customHeight="1"/>
    <row r="180" ht="18" customHeight="1"/>
    <row r="181" ht="18" customHeight="1"/>
    <row r="182" ht="18" customHeight="1"/>
    <row r="183" ht="18" customHeight="1"/>
    <row r="184" ht="18" customHeight="1"/>
    <row r="185" ht="18" customHeight="1"/>
    <row r="186" ht="18" customHeight="1"/>
    <row r="187" ht="18" customHeight="1"/>
    <row r="188" ht="18" customHeight="1"/>
    <row r="189" ht="18" customHeight="1"/>
    <row r="190" ht="18" customHeight="1"/>
    <row r="191" ht="18" customHeight="1"/>
    <row r="192" ht="18" customHeight="1"/>
    <row r="193" ht="18" customHeight="1"/>
    <row r="194" ht="18" customHeight="1"/>
    <row r="195" ht="18" customHeight="1"/>
    <row r="196" ht="18" customHeight="1"/>
    <row r="197" ht="18" customHeight="1"/>
    <row r="198" ht="18" customHeight="1"/>
    <row r="199" ht="18" customHeight="1"/>
    <row r="200" ht="18" customHeight="1"/>
    <row r="201" ht="18" customHeight="1"/>
    <row r="202" ht="18" customHeight="1"/>
    <row r="203" ht="18" customHeight="1"/>
    <row r="204" ht="18" customHeight="1"/>
    <row r="205" ht="18" customHeight="1"/>
    <row r="206" ht="18" customHeight="1"/>
    <row r="207" ht="18" customHeight="1"/>
    <row r="208" ht="18" customHeight="1"/>
    <row r="209" ht="18" customHeight="1"/>
    <row r="210" ht="18" customHeight="1"/>
    <row r="211" ht="18" customHeight="1"/>
    <row r="212" ht="18" customHeight="1"/>
    <row r="213" ht="18" customHeight="1"/>
    <row r="214" ht="18" customHeight="1"/>
    <row r="215" ht="18" customHeight="1"/>
    <row r="216" ht="18" customHeight="1"/>
    <row r="217" ht="18" customHeight="1"/>
    <row r="218" ht="18" customHeight="1"/>
    <row r="219" ht="18" customHeight="1"/>
    <row r="220" ht="18" customHeight="1"/>
    <row r="221" ht="18" customHeight="1"/>
    <row r="222" ht="18" customHeight="1"/>
    <row r="223" ht="18" customHeight="1"/>
    <row r="224" ht="18" customHeight="1"/>
    <row r="225" ht="18" customHeight="1"/>
    <row r="226" ht="18" customHeight="1"/>
    <row r="227" ht="18" customHeight="1"/>
    <row r="228" ht="18" customHeight="1"/>
    <row r="229" ht="18" customHeight="1"/>
    <row r="230" ht="18" customHeight="1"/>
    <row r="231" ht="18" customHeight="1"/>
    <row r="232" ht="18" customHeight="1"/>
    <row r="233" ht="18" customHeight="1"/>
    <row r="234" ht="18" customHeight="1"/>
    <row r="235" ht="18" customHeight="1"/>
    <row r="236" ht="18" customHeight="1"/>
    <row r="237" ht="18" customHeight="1"/>
    <row r="238" ht="18" customHeight="1"/>
    <row r="239" ht="18" customHeight="1"/>
    <row r="240" ht="18" customHeight="1"/>
    <row r="241" ht="18" customHeight="1"/>
    <row r="242" ht="18" customHeight="1"/>
    <row r="243" ht="18" customHeight="1"/>
    <row r="244" ht="18" customHeight="1"/>
    <row r="245" ht="18" customHeight="1"/>
    <row r="246" ht="18" customHeight="1"/>
    <row r="247" ht="18" customHeight="1"/>
    <row r="248" ht="18" customHeight="1"/>
    <row r="249" ht="18" customHeight="1"/>
    <row r="250" ht="18" customHeight="1"/>
    <row r="251" ht="18" customHeight="1"/>
    <row r="252" ht="18" customHeight="1"/>
    <row r="253" ht="18" customHeight="1"/>
    <row r="254" ht="18" customHeight="1"/>
    <row r="255" ht="18" customHeight="1"/>
    <row r="256" ht="18" customHeight="1"/>
    <row r="257" ht="18" customHeight="1"/>
    <row r="258" ht="18" customHeight="1"/>
    <row r="259" ht="18" customHeight="1"/>
    <row r="260" ht="18" customHeight="1"/>
    <row r="261" ht="18" customHeight="1"/>
    <row r="262" ht="18" customHeight="1"/>
    <row r="263" ht="18" customHeight="1"/>
    <row r="264" ht="18" customHeight="1"/>
    <row r="265" ht="18" customHeight="1"/>
    <row r="266" ht="18" customHeight="1"/>
    <row r="267" ht="18" customHeight="1"/>
    <row r="268" ht="18" customHeight="1"/>
    <row r="269" ht="18" customHeight="1"/>
    <row r="270" ht="18" customHeight="1"/>
    <row r="271" ht="18" customHeight="1"/>
    <row r="272" ht="18" customHeight="1"/>
    <row r="273" ht="18" customHeight="1"/>
    <row r="274" ht="18" customHeight="1"/>
    <row r="275" ht="18" customHeight="1"/>
    <row r="276" ht="18" customHeight="1"/>
    <row r="277" ht="18" customHeight="1"/>
    <row r="278" ht="18" customHeight="1"/>
    <row r="279" ht="18" customHeight="1"/>
    <row r="280" ht="18" customHeight="1"/>
    <row r="281" ht="18" customHeight="1"/>
    <row r="282" ht="18" customHeight="1"/>
    <row r="283" ht="18" customHeight="1"/>
    <row r="284" ht="18" customHeight="1"/>
    <row r="285" ht="18" customHeight="1"/>
    <row r="286" ht="18" customHeight="1"/>
    <row r="287" ht="18" customHeight="1"/>
    <row r="288" ht="18" customHeight="1"/>
    <row r="289" ht="18" customHeight="1"/>
    <row r="290" ht="18" customHeight="1"/>
    <row r="291" ht="18" customHeight="1"/>
    <row r="292" ht="18" customHeight="1"/>
    <row r="293" ht="18" customHeight="1"/>
    <row r="294" ht="18" customHeight="1"/>
    <row r="295" ht="18" customHeight="1"/>
    <row r="296" ht="18" customHeight="1"/>
    <row r="297" ht="18" customHeight="1"/>
    <row r="298" ht="18" customHeight="1"/>
    <row r="299" ht="18" customHeight="1"/>
    <row r="300" ht="18" customHeight="1"/>
    <row r="301" ht="18" customHeight="1"/>
    <row r="302" ht="18" customHeight="1"/>
    <row r="303" ht="18" customHeight="1"/>
    <row r="304" ht="18" customHeight="1"/>
    <row r="305" ht="18" customHeight="1"/>
    <row r="306" ht="18" customHeight="1"/>
    <row r="307" ht="18" customHeight="1"/>
    <row r="308" ht="18" customHeight="1"/>
    <row r="309" ht="18" customHeight="1"/>
    <row r="310" ht="18" customHeight="1"/>
    <row r="311" ht="18" customHeight="1"/>
    <row r="312" ht="18" customHeight="1"/>
    <row r="313" ht="18" customHeight="1"/>
    <row r="314" ht="18" customHeight="1"/>
    <row r="315" ht="18" customHeight="1"/>
    <row r="316" ht="18" customHeight="1"/>
    <row r="317" ht="18" customHeight="1"/>
    <row r="318" ht="18" customHeight="1"/>
    <row r="319" ht="18" customHeight="1"/>
    <row r="320" ht="18" customHeight="1"/>
    <row r="321" ht="18" customHeight="1"/>
    <row r="322" ht="18" customHeight="1"/>
    <row r="323" ht="18" customHeight="1"/>
    <row r="324" ht="18" customHeight="1"/>
    <row r="325" ht="18" customHeight="1"/>
    <row r="326" ht="18" customHeight="1"/>
    <row r="327" ht="18" customHeight="1"/>
    <row r="328" ht="18" customHeight="1"/>
    <row r="329" ht="18" customHeight="1"/>
    <row r="330" ht="18" customHeight="1"/>
    <row r="331" ht="18" customHeight="1"/>
    <row r="332" ht="18" customHeight="1"/>
    <row r="333" ht="18" customHeight="1"/>
    <row r="334" ht="18" customHeight="1"/>
    <row r="335" ht="18" customHeight="1"/>
    <row r="336" ht="18" customHeight="1"/>
    <row r="337" ht="18" customHeight="1"/>
    <row r="338" ht="18" customHeight="1"/>
    <row r="339" ht="18" customHeight="1"/>
    <row r="340" ht="18" customHeight="1"/>
    <row r="341" ht="18" customHeight="1"/>
    <row r="342" ht="18" customHeight="1"/>
    <row r="343" ht="18" customHeight="1"/>
    <row r="344" ht="18" customHeight="1"/>
    <row r="345" ht="18" customHeight="1"/>
    <row r="346" ht="18" customHeight="1"/>
    <row r="347" ht="18" customHeight="1"/>
    <row r="348" ht="18" customHeight="1"/>
    <row r="349" ht="18" customHeight="1"/>
    <row r="350" ht="18" customHeight="1"/>
    <row r="351" ht="18" customHeight="1"/>
    <row r="352" ht="18" customHeight="1"/>
    <row r="353" ht="18" customHeight="1"/>
    <row r="354" ht="18" customHeight="1"/>
    <row r="355" ht="18" customHeight="1"/>
    <row r="356" ht="18" customHeight="1"/>
    <row r="357" ht="18" customHeight="1"/>
    <row r="358" ht="18" customHeight="1"/>
    <row r="359" ht="18" customHeight="1"/>
    <row r="360" ht="18" customHeight="1"/>
    <row r="361" ht="18" customHeight="1"/>
    <row r="362" ht="18" customHeight="1"/>
    <row r="363" ht="18" customHeight="1"/>
    <row r="364" ht="18" customHeight="1"/>
    <row r="365" ht="18" customHeight="1"/>
    <row r="366" ht="18" customHeight="1"/>
    <row r="367" ht="18" customHeight="1"/>
    <row r="368" ht="18" customHeight="1"/>
    <row r="369" ht="18" customHeight="1"/>
    <row r="370" ht="18" customHeight="1"/>
    <row r="371" ht="18" customHeight="1"/>
    <row r="372" ht="18" customHeight="1"/>
    <row r="373" ht="18" customHeight="1"/>
    <row r="374" ht="18" customHeight="1"/>
    <row r="375" ht="18" customHeight="1"/>
    <row r="376" ht="18" customHeight="1"/>
    <row r="377" ht="18" customHeight="1"/>
    <row r="378" ht="18" customHeight="1"/>
    <row r="379" ht="18" customHeight="1"/>
    <row r="380" ht="18" customHeight="1"/>
    <row r="381" ht="18" customHeight="1"/>
    <row r="382" ht="18" customHeight="1"/>
    <row r="383" ht="18" customHeight="1"/>
    <row r="384" ht="18" customHeight="1"/>
    <row r="385" ht="18" customHeight="1"/>
    <row r="386" ht="18" customHeight="1"/>
    <row r="387" ht="18" customHeight="1"/>
    <row r="388" ht="18" customHeight="1"/>
    <row r="389" ht="18" customHeight="1"/>
    <row r="390" ht="18" customHeight="1"/>
    <row r="391" ht="18" customHeight="1"/>
    <row r="392" ht="18" customHeight="1"/>
    <row r="393" ht="18" customHeight="1"/>
    <row r="394" ht="18" customHeight="1"/>
    <row r="395" ht="18" customHeight="1"/>
    <row r="396" ht="18" customHeight="1"/>
    <row r="397" ht="18" customHeight="1"/>
    <row r="398" ht="18" customHeight="1"/>
    <row r="399" ht="18" customHeight="1"/>
    <row r="400" ht="18" customHeight="1"/>
    <row r="401" ht="18" customHeight="1"/>
    <row r="402" ht="18" customHeight="1"/>
    <row r="403" ht="18" customHeight="1"/>
    <row r="404" ht="18" customHeight="1"/>
    <row r="405" ht="18" customHeight="1"/>
    <row r="406" ht="18" customHeight="1"/>
    <row r="407" ht="18" customHeight="1"/>
    <row r="408" ht="18" customHeight="1"/>
    <row r="409" ht="18" customHeight="1"/>
    <row r="410" ht="18" customHeight="1"/>
    <row r="411" ht="18" customHeight="1"/>
    <row r="412" ht="18" customHeight="1"/>
    <row r="413" ht="18" customHeight="1"/>
    <row r="414" ht="18" customHeight="1"/>
    <row r="415" ht="18" customHeight="1"/>
    <row r="416" ht="18" customHeight="1"/>
    <row r="417" ht="18" customHeight="1"/>
    <row r="418" ht="18" customHeight="1"/>
    <row r="419" ht="18" customHeight="1"/>
    <row r="420" ht="18" customHeight="1"/>
    <row r="421" ht="18" customHeight="1"/>
    <row r="422" ht="18" customHeight="1"/>
    <row r="423" ht="18" customHeight="1"/>
    <row r="424" ht="18" customHeight="1"/>
    <row r="425" ht="18" customHeight="1"/>
    <row r="426" ht="18" customHeight="1"/>
    <row r="427" ht="18" customHeight="1"/>
    <row r="428" ht="18" customHeight="1"/>
    <row r="429" ht="18" customHeight="1"/>
    <row r="430" ht="18" customHeight="1"/>
    <row r="431" ht="18" customHeight="1"/>
    <row r="432" ht="18" customHeight="1"/>
    <row r="433" ht="18" customHeight="1"/>
    <row r="434" ht="18" customHeight="1"/>
    <row r="435" ht="18" customHeight="1"/>
    <row r="436" ht="18" customHeight="1"/>
    <row r="437" ht="18" customHeight="1"/>
    <row r="438" ht="18" customHeight="1"/>
    <row r="439" ht="18" customHeight="1"/>
    <row r="440" ht="18" customHeight="1"/>
    <row r="441" ht="18" customHeight="1"/>
    <row r="442" ht="18" customHeight="1"/>
    <row r="443" ht="18" customHeight="1"/>
    <row r="444" ht="18" customHeight="1"/>
    <row r="445" ht="18" customHeight="1"/>
    <row r="446" ht="18" customHeight="1"/>
    <row r="447" ht="18" customHeight="1"/>
    <row r="448" ht="18" customHeight="1"/>
    <row r="449" ht="18" customHeight="1"/>
    <row r="450" ht="18" customHeight="1"/>
    <row r="451" ht="18" customHeight="1"/>
    <row r="452" ht="18" customHeight="1"/>
    <row r="453" ht="18" customHeight="1"/>
    <row r="454" ht="18" customHeight="1"/>
    <row r="455" ht="18" customHeight="1"/>
    <row r="456" ht="18" customHeight="1"/>
    <row r="457" ht="18" customHeight="1"/>
    <row r="458" ht="18" customHeight="1"/>
    <row r="459" ht="18" customHeight="1"/>
    <row r="460" ht="18" customHeight="1"/>
    <row r="461" ht="18" customHeight="1"/>
    <row r="462" ht="18" customHeight="1"/>
    <row r="463" ht="18" customHeight="1"/>
    <row r="464" ht="18" customHeight="1"/>
    <row r="465" ht="18" customHeight="1"/>
    <row r="466" ht="18" customHeight="1"/>
    <row r="467" ht="18" customHeight="1"/>
    <row r="468" ht="18" customHeight="1"/>
    <row r="469" ht="18" customHeight="1"/>
    <row r="470" ht="18" customHeight="1"/>
    <row r="471" ht="18" customHeight="1"/>
    <row r="472" ht="18" customHeight="1"/>
    <row r="473" ht="18" customHeight="1"/>
    <row r="474" ht="18" customHeight="1"/>
    <row r="475" ht="18" customHeight="1"/>
    <row r="476" ht="18" customHeight="1"/>
    <row r="477" ht="18" customHeight="1"/>
    <row r="478" ht="18" customHeight="1"/>
    <row r="479" ht="18" customHeight="1"/>
    <row r="480" ht="18" customHeight="1"/>
    <row r="481" ht="18" customHeight="1"/>
    <row r="482" ht="18" customHeight="1"/>
    <row r="483" ht="18" customHeight="1"/>
    <row r="484" ht="18" customHeight="1"/>
    <row r="485" ht="18" customHeight="1"/>
    <row r="486" ht="18" customHeight="1"/>
    <row r="487" ht="18" customHeight="1"/>
    <row r="488" ht="18" customHeight="1"/>
    <row r="489" ht="18" customHeight="1"/>
    <row r="490" ht="18" customHeight="1"/>
    <row r="491" ht="18" customHeight="1"/>
    <row r="492" ht="18" customHeight="1"/>
    <row r="493" ht="18" customHeight="1"/>
    <row r="494" ht="18" customHeight="1"/>
    <row r="495" ht="18" customHeight="1"/>
    <row r="496" ht="18" customHeight="1"/>
    <row r="497" ht="18" customHeight="1"/>
    <row r="498" ht="18" customHeight="1"/>
    <row r="499" ht="18" customHeight="1"/>
    <row r="500" ht="18" customHeight="1"/>
    <row r="501" ht="18" customHeight="1"/>
    <row r="502" ht="18" customHeight="1"/>
    <row r="503" ht="18" customHeight="1"/>
    <row r="504" ht="18" customHeight="1"/>
    <row r="505" ht="18" customHeight="1"/>
    <row r="506" ht="18" customHeight="1"/>
    <row r="507" ht="18" customHeight="1"/>
    <row r="508" ht="18" customHeight="1"/>
    <row r="509" ht="18" customHeight="1"/>
    <row r="510" ht="18" customHeight="1"/>
    <row r="511" ht="18" customHeight="1"/>
    <row r="512" ht="18" customHeight="1"/>
    <row r="513" ht="18" customHeight="1"/>
    <row r="514" ht="18" customHeight="1"/>
    <row r="515" ht="18" customHeight="1"/>
    <row r="516" ht="18" customHeight="1"/>
    <row r="517" ht="18" customHeight="1"/>
    <row r="518" ht="18" customHeight="1"/>
    <row r="519" ht="18" customHeight="1"/>
    <row r="520" ht="18" customHeight="1"/>
    <row r="521" ht="18" customHeight="1"/>
    <row r="522" ht="18" customHeight="1"/>
    <row r="523" ht="18" customHeight="1"/>
    <row r="524" ht="18" customHeight="1"/>
    <row r="525" ht="18" customHeight="1"/>
    <row r="526" ht="18" customHeight="1"/>
    <row r="527" ht="18" customHeight="1"/>
    <row r="528" ht="18" customHeight="1"/>
    <row r="529" ht="18" customHeight="1"/>
    <row r="530" ht="18" customHeight="1"/>
    <row r="531" ht="18" customHeight="1"/>
    <row r="532" ht="18" customHeight="1"/>
    <row r="533" ht="18" customHeight="1"/>
    <row r="534" ht="18" customHeight="1"/>
    <row r="535" ht="18" customHeight="1"/>
    <row r="536" ht="18" customHeight="1"/>
    <row r="537" ht="18" customHeight="1"/>
    <row r="538" ht="18" customHeight="1"/>
    <row r="539" ht="18" customHeight="1"/>
    <row r="540" ht="18" customHeight="1"/>
    <row r="541" ht="18" customHeight="1"/>
    <row r="542" ht="18" customHeight="1"/>
    <row r="543" ht="18" customHeight="1"/>
    <row r="544" ht="18" customHeight="1"/>
    <row r="545" ht="18" customHeight="1"/>
    <row r="546" ht="18" customHeight="1"/>
    <row r="547" ht="18" customHeight="1"/>
    <row r="548" ht="18" customHeight="1"/>
    <row r="549" ht="18" customHeight="1"/>
    <row r="550" ht="18" customHeight="1"/>
    <row r="551" ht="18" customHeight="1"/>
    <row r="552" ht="18" customHeight="1"/>
    <row r="553" ht="18" customHeight="1"/>
    <row r="554" ht="18" customHeight="1"/>
    <row r="555" ht="18" customHeight="1"/>
    <row r="556" ht="18" customHeight="1"/>
    <row r="557" ht="18" customHeight="1"/>
    <row r="558" ht="18" customHeight="1"/>
    <row r="559" ht="18" customHeight="1"/>
    <row r="560" ht="18" customHeight="1"/>
    <row r="561" ht="18" customHeight="1"/>
    <row r="562" ht="18" customHeight="1"/>
    <row r="563" ht="18" customHeight="1"/>
    <row r="564" ht="18" customHeight="1"/>
    <row r="565" ht="18" customHeight="1"/>
    <row r="566" ht="18" customHeight="1"/>
    <row r="567" ht="18" customHeight="1"/>
    <row r="568" ht="18" customHeight="1"/>
    <row r="569" ht="18" customHeight="1"/>
    <row r="570" ht="18" customHeight="1"/>
    <row r="571" ht="18" customHeight="1"/>
    <row r="572" ht="18" customHeight="1"/>
    <row r="573" ht="18" customHeight="1"/>
    <row r="574" ht="18" customHeight="1"/>
    <row r="575" ht="18" customHeight="1"/>
    <row r="576" ht="18" customHeight="1"/>
    <row r="577" ht="18" customHeight="1"/>
    <row r="578" ht="18" customHeight="1"/>
    <row r="579" ht="18" customHeight="1"/>
    <row r="580" ht="18" customHeight="1"/>
    <row r="581" ht="18" customHeight="1"/>
    <row r="582" ht="18" customHeight="1"/>
    <row r="583" ht="18" customHeight="1"/>
    <row r="584" ht="18" customHeight="1"/>
    <row r="585" ht="18" customHeight="1"/>
    <row r="586" ht="18" customHeight="1"/>
    <row r="587" ht="18" customHeight="1"/>
    <row r="588" ht="18" customHeight="1"/>
    <row r="589" ht="18" customHeight="1"/>
    <row r="590" ht="18" customHeight="1"/>
    <row r="591" ht="18" customHeight="1"/>
    <row r="592" ht="18" customHeight="1"/>
    <row r="593" ht="18" customHeight="1"/>
    <row r="594" ht="18" customHeight="1"/>
    <row r="595" ht="18" customHeight="1"/>
    <row r="596" ht="18" customHeight="1"/>
    <row r="597" ht="18" customHeight="1"/>
    <row r="598" ht="18" customHeight="1"/>
    <row r="599" ht="18" customHeight="1"/>
    <row r="600" ht="18" customHeight="1"/>
    <row r="601" ht="18" customHeight="1"/>
    <row r="602" ht="18" customHeight="1"/>
    <row r="603" ht="18" customHeight="1"/>
    <row r="604" ht="18" customHeight="1"/>
    <row r="605" ht="18" customHeight="1"/>
    <row r="606" ht="18" customHeight="1"/>
    <row r="607" ht="18" customHeight="1"/>
    <row r="608" ht="18" customHeight="1"/>
    <row r="609" ht="18" customHeight="1"/>
    <row r="610" ht="18" customHeight="1"/>
    <row r="611" ht="18" customHeight="1"/>
    <row r="612" ht="18" customHeight="1"/>
    <row r="613" ht="18" customHeight="1"/>
    <row r="614" ht="18" customHeight="1"/>
    <row r="615" ht="18" customHeight="1"/>
    <row r="616" ht="18" customHeight="1"/>
    <row r="617" ht="18" customHeight="1"/>
    <row r="618" ht="18" customHeight="1"/>
    <row r="619" ht="18" customHeight="1"/>
    <row r="620" ht="18" customHeight="1"/>
    <row r="621" ht="18" customHeight="1"/>
    <row r="622" ht="18" customHeight="1"/>
    <row r="623" ht="18" customHeight="1"/>
    <row r="624" ht="18" customHeight="1"/>
    <row r="625" ht="18" customHeight="1"/>
    <row r="626" ht="18" customHeight="1"/>
    <row r="627" ht="18" customHeight="1"/>
    <row r="628" ht="18" customHeight="1"/>
    <row r="629" ht="18" customHeight="1"/>
    <row r="630" ht="18" customHeight="1"/>
    <row r="631" ht="18" customHeight="1"/>
    <row r="632" ht="18" customHeight="1"/>
    <row r="633" ht="18" customHeight="1"/>
    <row r="634" ht="18" customHeight="1"/>
    <row r="635" ht="18" customHeight="1"/>
    <row r="636" ht="18" customHeight="1"/>
    <row r="637" ht="18" customHeight="1"/>
    <row r="638" ht="18" customHeight="1"/>
    <row r="639" ht="18" customHeight="1"/>
    <row r="640" ht="18" customHeight="1"/>
    <row r="641" ht="18" customHeight="1"/>
    <row r="642" ht="18" customHeight="1"/>
    <row r="643" ht="18" customHeight="1"/>
    <row r="644" ht="18" customHeight="1"/>
    <row r="645" ht="18" customHeight="1"/>
    <row r="646" ht="18" customHeight="1"/>
    <row r="647" ht="18" customHeight="1"/>
    <row r="648" ht="18" customHeight="1"/>
    <row r="649" ht="18" customHeight="1"/>
    <row r="650" ht="18" customHeight="1"/>
    <row r="651" ht="18" customHeight="1"/>
    <row r="652" ht="18" customHeight="1"/>
    <row r="653" ht="18" customHeight="1"/>
    <row r="654" ht="18" customHeight="1"/>
    <row r="655" ht="18" customHeight="1"/>
    <row r="656" ht="18" customHeight="1"/>
    <row r="657" ht="18" customHeight="1"/>
    <row r="658" ht="18" customHeight="1"/>
    <row r="659" ht="18" customHeight="1"/>
    <row r="660" ht="18" customHeight="1"/>
    <row r="661" ht="18" customHeight="1"/>
    <row r="662" ht="18" customHeight="1"/>
    <row r="663" ht="18" customHeight="1"/>
    <row r="664" ht="18" customHeight="1"/>
    <row r="665" ht="18" customHeight="1"/>
    <row r="666" ht="18" customHeight="1"/>
    <row r="667" ht="18" customHeight="1"/>
    <row r="668" ht="18" customHeight="1"/>
    <row r="669" ht="18" customHeight="1"/>
    <row r="670" ht="18" customHeight="1"/>
    <row r="671" ht="18" customHeight="1"/>
    <row r="672" ht="18" customHeight="1"/>
    <row r="673" ht="18" customHeight="1"/>
    <row r="674" ht="18" customHeight="1"/>
    <row r="675" ht="18" customHeight="1"/>
    <row r="676" ht="18" customHeight="1"/>
    <row r="677" ht="18" customHeight="1"/>
    <row r="678" ht="18" customHeight="1"/>
    <row r="679" ht="18" customHeight="1"/>
    <row r="680" ht="18" customHeight="1"/>
    <row r="681" ht="18" customHeight="1"/>
    <row r="682" ht="18" customHeight="1"/>
    <row r="683" ht="18" customHeight="1"/>
    <row r="684" ht="18" customHeight="1"/>
    <row r="685" ht="18" customHeight="1"/>
    <row r="686" ht="18" customHeight="1"/>
    <row r="687" ht="18" customHeight="1"/>
    <row r="688" ht="18" customHeight="1"/>
    <row r="689" ht="18" customHeight="1"/>
    <row r="690" ht="18" customHeight="1"/>
    <row r="691" ht="18" customHeight="1"/>
    <row r="692" ht="18" customHeight="1"/>
    <row r="693" ht="18" customHeight="1"/>
    <row r="694" ht="18" customHeight="1"/>
    <row r="695" ht="18" customHeight="1"/>
    <row r="696" ht="18" customHeight="1"/>
    <row r="697" ht="18" customHeight="1"/>
    <row r="698" ht="18" customHeight="1"/>
    <row r="699" ht="18" customHeight="1"/>
    <row r="700" ht="18" customHeight="1"/>
    <row r="701" ht="18" customHeight="1"/>
    <row r="702" ht="18" customHeight="1"/>
    <row r="703" ht="18" customHeight="1"/>
    <row r="704" ht="18" customHeight="1"/>
    <row r="705" ht="18" customHeight="1"/>
    <row r="706" ht="18" customHeight="1"/>
    <row r="707" ht="18" customHeight="1"/>
    <row r="708" ht="18" customHeight="1"/>
    <row r="709" ht="18" customHeight="1"/>
    <row r="710" ht="18" customHeight="1"/>
    <row r="711" ht="18" customHeight="1"/>
    <row r="712" ht="18" customHeight="1"/>
    <row r="713" ht="18" customHeight="1"/>
    <row r="714" ht="18" customHeight="1"/>
    <row r="715" ht="18" customHeight="1"/>
    <row r="716" ht="18" customHeight="1"/>
    <row r="717" ht="18" customHeight="1"/>
    <row r="718" ht="18" customHeight="1"/>
    <row r="719" ht="18" customHeight="1"/>
    <row r="720" ht="18" customHeight="1"/>
    <row r="721" ht="18" customHeight="1"/>
    <row r="722" ht="18" customHeight="1"/>
    <row r="723" ht="18" customHeight="1"/>
    <row r="724" ht="18" customHeight="1"/>
    <row r="725" ht="18" customHeight="1"/>
    <row r="726" ht="18" customHeight="1"/>
    <row r="727" ht="18" customHeight="1"/>
    <row r="728" ht="18" customHeight="1"/>
    <row r="729" ht="18" customHeight="1"/>
    <row r="730" ht="18" customHeight="1"/>
    <row r="731" ht="18" customHeight="1"/>
    <row r="732" ht="18" customHeight="1"/>
    <row r="733" ht="18" customHeight="1"/>
    <row r="734" ht="18" customHeight="1"/>
    <row r="735" ht="18" customHeight="1"/>
    <row r="736" ht="18" customHeight="1"/>
    <row r="737" ht="18" customHeight="1"/>
    <row r="738" ht="18" customHeight="1"/>
    <row r="739" ht="18" customHeight="1"/>
    <row r="740" ht="18" customHeight="1"/>
    <row r="741" ht="18" customHeight="1"/>
    <row r="742" ht="18" customHeight="1"/>
    <row r="743" ht="18" customHeight="1"/>
    <row r="744" ht="18" customHeight="1"/>
    <row r="745" ht="18" customHeight="1"/>
    <row r="746" ht="18" customHeight="1"/>
    <row r="747" ht="18" customHeight="1"/>
    <row r="748" ht="18" customHeight="1"/>
    <row r="749" ht="18" customHeight="1"/>
    <row r="750" ht="18" customHeight="1"/>
    <row r="751" ht="18" customHeight="1"/>
    <row r="752" ht="18" customHeight="1"/>
    <row r="753" ht="18" customHeight="1"/>
    <row r="754" ht="18" customHeight="1"/>
    <row r="755" ht="18" customHeight="1"/>
    <row r="756" ht="18" customHeight="1"/>
    <row r="757" ht="18" customHeight="1"/>
    <row r="758" ht="18" customHeight="1"/>
    <row r="759" ht="18" customHeight="1"/>
    <row r="760" ht="18" customHeight="1"/>
    <row r="761" ht="18" customHeight="1"/>
    <row r="762" ht="18" customHeight="1"/>
    <row r="763" ht="18" customHeight="1"/>
    <row r="764" ht="18" customHeight="1"/>
    <row r="765" ht="18" customHeight="1"/>
    <row r="766" ht="18" customHeight="1"/>
    <row r="767" ht="18" customHeight="1"/>
    <row r="768" ht="18" customHeight="1"/>
    <row r="769" ht="18" customHeight="1"/>
    <row r="770" ht="18" customHeight="1"/>
    <row r="771" ht="18" customHeight="1"/>
    <row r="772" ht="18" customHeight="1"/>
    <row r="773" ht="18" customHeight="1"/>
    <row r="774" ht="18" customHeight="1"/>
    <row r="775" ht="18" customHeight="1"/>
    <row r="776" ht="18" customHeight="1"/>
    <row r="777" ht="18" customHeight="1"/>
    <row r="778" ht="18" customHeight="1"/>
    <row r="779" ht="18" customHeight="1"/>
    <row r="780" ht="18" customHeight="1"/>
    <row r="781" ht="18" customHeight="1"/>
    <row r="782" ht="18" customHeight="1"/>
    <row r="783" ht="18" customHeight="1"/>
    <row r="784" ht="18" customHeight="1"/>
    <row r="785" ht="18" customHeight="1"/>
    <row r="786" ht="18" customHeight="1"/>
    <row r="787" ht="18" customHeight="1"/>
    <row r="788" ht="18" customHeight="1"/>
    <row r="789" ht="18" customHeight="1"/>
    <row r="790" ht="18" customHeight="1"/>
    <row r="791" ht="18" customHeight="1"/>
    <row r="792" ht="18" customHeight="1"/>
    <row r="793" ht="18" customHeight="1"/>
    <row r="794" ht="18" customHeight="1"/>
    <row r="795" ht="18" customHeight="1"/>
    <row r="796" ht="18" customHeight="1"/>
    <row r="797" ht="18" customHeight="1"/>
    <row r="798" ht="18" customHeight="1"/>
    <row r="799" ht="18" customHeight="1"/>
    <row r="800" ht="18" customHeight="1"/>
    <row r="801" ht="18" customHeight="1"/>
    <row r="802" ht="18" customHeight="1"/>
    <row r="803" ht="18" customHeight="1"/>
    <row r="804" ht="18" customHeight="1"/>
    <row r="805" ht="18" customHeight="1"/>
    <row r="806" ht="18" customHeight="1"/>
    <row r="807" ht="18" customHeight="1"/>
    <row r="808" ht="18" customHeight="1"/>
    <row r="809" ht="18" customHeight="1"/>
    <row r="810" ht="18" customHeight="1"/>
    <row r="811" ht="18" customHeight="1"/>
    <row r="812" ht="18" customHeight="1"/>
    <row r="813" ht="18" customHeight="1"/>
    <row r="814" ht="18" customHeight="1"/>
    <row r="815" ht="18" customHeight="1"/>
    <row r="816" ht="18" customHeight="1"/>
    <row r="817" ht="18" customHeight="1"/>
    <row r="818" ht="18" customHeight="1"/>
    <row r="819" ht="18" customHeight="1"/>
    <row r="820" ht="18" customHeight="1"/>
    <row r="821" ht="18" customHeight="1"/>
    <row r="822" ht="18" customHeight="1"/>
    <row r="823" ht="18" customHeight="1"/>
    <row r="824" ht="18" customHeight="1"/>
    <row r="825" ht="18" customHeight="1"/>
    <row r="826" ht="18" customHeight="1"/>
    <row r="827" ht="18" customHeight="1"/>
    <row r="828" ht="18" customHeight="1"/>
    <row r="829" ht="18" customHeight="1"/>
    <row r="830" ht="18" customHeight="1"/>
    <row r="831" ht="18" customHeight="1"/>
    <row r="832" ht="18" customHeight="1"/>
    <row r="833" ht="18" customHeight="1"/>
    <row r="834" ht="18" customHeight="1"/>
    <row r="835" ht="18" customHeight="1"/>
    <row r="836" ht="18" customHeight="1"/>
    <row r="837" ht="18" customHeight="1"/>
    <row r="838" ht="18" customHeight="1"/>
    <row r="839" ht="18" customHeight="1"/>
    <row r="840" ht="18" customHeight="1"/>
    <row r="841" ht="18" customHeight="1"/>
    <row r="842" ht="18" customHeight="1"/>
    <row r="843" ht="18" customHeight="1"/>
    <row r="844" ht="18" customHeight="1"/>
    <row r="845" ht="18" customHeight="1"/>
    <row r="846" ht="18" customHeight="1"/>
    <row r="847" ht="18" customHeight="1"/>
    <row r="848" ht="18" customHeight="1"/>
    <row r="849" ht="18" customHeight="1"/>
    <row r="850" ht="18" customHeight="1"/>
    <row r="851" ht="18" customHeight="1"/>
    <row r="852" ht="18" customHeight="1"/>
    <row r="853" ht="18" customHeight="1"/>
    <row r="854" ht="18" customHeight="1"/>
    <row r="855" ht="18" customHeight="1"/>
    <row r="856" ht="18" customHeight="1"/>
    <row r="857" ht="18" customHeight="1"/>
    <row r="858" ht="18" customHeight="1"/>
    <row r="859" ht="18" customHeight="1"/>
    <row r="860" ht="18" customHeight="1"/>
    <row r="861" ht="18" customHeight="1"/>
    <row r="862" ht="18" customHeight="1"/>
    <row r="863" ht="18" customHeight="1"/>
    <row r="864" ht="18" customHeight="1"/>
    <row r="865" ht="18" customHeight="1"/>
    <row r="866" ht="18" customHeight="1"/>
    <row r="867" ht="18" customHeight="1"/>
    <row r="868" ht="18" customHeight="1"/>
    <row r="869" ht="18" customHeight="1"/>
    <row r="870" ht="18" customHeight="1"/>
    <row r="871" ht="18" customHeight="1"/>
    <row r="872" ht="18" customHeight="1"/>
    <row r="873" ht="18" customHeight="1"/>
    <row r="874" ht="18" customHeight="1"/>
    <row r="875" ht="18" customHeight="1"/>
    <row r="876" ht="18" customHeight="1"/>
    <row r="877" ht="18" customHeight="1"/>
    <row r="878" ht="18" customHeight="1"/>
    <row r="879" ht="18" customHeight="1"/>
    <row r="880" ht="18" customHeight="1"/>
    <row r="881" ht="18" customHeight="1"/>
    <row r="882" ht="18" customHeight="1"/>
    <row r="883" ht="18" customHeight="1"/>
    <row r="884" ht="18" customHeight="1"/>
    <row r="885" ht="18" customHeight="1"/>
    <row r="886" ht="18" customHeight="1"/>
    <row r="887" ht="18" customHeight="1"/>
    <row r="888" ht="18" customHeight="1"/>
    <row r="889" ht="18" customHeight="1"/>
    <row r="890" ht="18" customHeight="1"/>
    <row r="891" ht="18" customHeight="1"/>
    <row r="892" ht="18" customHeight="1"/>
    <row r="893" ht="18" customHeight="1"/>
    <row r="894" ht="18" customHeight="1"/>
    <row r="895" ht="18" customHeight="1"/>
    <row r="896" ht="18" customHeight="1"/>
    <row r="897" ht="18" customHeight="1"/>
    <row r="898" ht="18" customHeight="1"/>
    <row r="899" ht="18" customHeight="1"/>
    <row r="900" ht="18" customHeight="1"/>
    <row r="901" ht="18" customHeight="1"/>
    <row r="902" ht="18" customHeight="1"/>
    <row r="903" ht="18" customHeight="1"/>
    <row r="904" ht="18" customHeight="1"/>
    <row r="905" ht="18" customHeight="1"/>
    <row r="906" ht="18" customHeight="1"/>
    <row r="907" ht="18" customHeight="1"/>
    <row r="908" ht="18" customHeight="1"/>
    <row r="909" ht="18" customHeight="1"/>
    <row r="910" ht="18" customHeight="1"/>
    <row r="911" ht="18" customHeight="1"/>
    <row r="912" ht="18" customHeight="1"/>
    <row r="913" ht="18" customHeight="1"/>
    <row r="914" ht="18" customHeight="1"/>
    <row r="915" ht="18" customHeight="1"/>
    <row r="916" ht="18" customHeight="1"/>
    <row r="917" ht="18" customHeight="1"/>
    <row r="918" ht="18" customHeight="1"/>
    <row r="919" ht="18" customHeight="1"/>
    <row r="920" ht="18" customHeight="1"/>
    <row r="921" ht="18" customHeight="1"/>
    <row r="922" ht="18" customHeight="1"/>
    <row r="923" ht="18" customHeight="1"/>
    <row r="924" ht="18" customHeight="1"/>
    <row r="925" ht="18" customHeight="1"/>
    <row r="926" ht="18" customHeight="1"/>
    <row r="927" ht="18" customHeight="1"/>
    <row r="928" ht="18" customHeight="1"/>
    <row r="929" ht="18" customHeight="1"/>
    <row r="930" ht="18" customHeight="1"/>
    <row r="931" ht="18" customHeight="1"/>
    <row r="932" ht="18" customHeight="1"/>
    <row r="933" ht="18" customHeight="1"/>
    <row r="934" ht="18" customHeight="1"/>
    <row r="935" ht="18" customHeight="1"/>
    <row r="936" ht="18" customHeight="1"/>
    <row r="937" ht="18" customHeight="1"/>
    <row r="938" ht="18" customHeight="1"/>
    <row r="939" ht="18" customHeight="1"/>
    <row r="940" ht="18" customHeight="1"/>
    <row r="941" ht="18" customHeight="1"/>
    <row r="942" ht="18" customHeight="1"/>
    <row r="943" ht="18" customHeight="1"/>
    <row r="944" ht="18" customHeight="1"/>
    <row r="945" ht="18" customHeight="1"/>
    <row r="946" ht="18" customHeight="1"/>
    <row r="947" ht="18" customHeight="1"/>
    <row r="948" ht="18" customHeight="1"/>
    <row r="949" ht="18" customHeight="1"/>
    <row r="950" ht="18" customHeight="1"/>
    <row r="951" ht="18" customHeight="1"/>
    <row r="952" ht="18" customHeight="1"/>
    <row r="953" ht="18" customHeight="1"/>
    <row r="954" ht="18" customHeight="1"/>
    <row r="955" ht="18" customHeight="1"/>
    <row r="956" ht="18" customHeight="1"/>
    <row r="957" ht="18" customHeight="1"/>
    <row r="958" ht="18" customHeight="1"/>
    <row r="959" ht="18" customHeight="1"/>
    <row r="960" ht="18" customHeight="1"/>
    <row r="961" ht="18" customHeight="1"/>
    <row r="962" ht="18" customHeight="1"/>
    <row r="963" ht="18" customHeight="1"/>
    <row r="964" ht="18" customHeight="1"/>
    <row r="965" ht="18" customHeight="1"/>
    <row r="966" ht="18" customHeight="1"/>
    <row r="967" ht="18" customHeight="1"/>
    <row r="968" ht="18" customHeight="1"/>
    <row r="969" ht="18" customHeight="1"/>
    <row r="970" ht="18" customHeight="1"/>
    <row r="971" ht="18" customHeight="1"/>
    <row r="972" ht="18" customHeight="1"/>
    <row r="973" ht="18" customHeight="1"/>
    <row r="974" ht="18" customHeight="1"/>
    <row r="975" ht="18" customHeight="1"/>
    <row r="976" ht="18" customHeight="1"/>
    <row r="977" ht="18" customHeight="1"/>
    <row r="978" ht="18" customHeight="1"/>
    <row r="979" ht="18" customHeight="1"/>
    <row r="980" ht="18" customHeight="1"/>
    <row r="981" ht="18" customHeight="1"/>
    <row r="982" ht="18" customHeight="1"/>
    <row r="983" ht="18" customHeight="1"/>
    <row r="984" ht="18" customHeight="1"/>
    <row r="985" ht="18" customHeight="1"/>
    <row r="986" ht="18" customHeight="1"/>
    <row r="987" ht="18" customHeight="1"/>
    <row r="988" ht="18" customHeight="1"/>
    <row r="989" ht="18" customHeight="1"/>
    <row r="990" ht="18" customHeight="1"/>
    <row r="991" ht="18" customHeight="1"/>
    <row r="992" ht="18" customHeight="1"/>
    <row r="993" ht="18" customHeight="1"/>
    <row r="994" ht="18" customHeight="1"/>
    <row r="995" ht="18" customHeight="1"/>
    <row r="996" ht="18" customHeight="1"/>
    <row r="997" ht="18" customHeight="1"/>
    <row r="998" ht="18" customHeight="1"/>
    <row r="999" ht="18" customHeight="1"/>
    <row r="1000" ht="18" customHeight="1"/>
    <row r="1001" ht="18" customHeight="1"/>
    <row r="1002" ht="18" customHeight="1"/>
    <row r="1003" ht="18" customHeight="1"/>
    <row r="1004" ht="18" customHeight="1"/>
    <row r="1005" ht="18" customHeight="1"/>
    <row r="1006" ht="18" customHeight="1"/>
    <row r="1007" ht="18" customHeight="1"/>
    <row r="1008" ht="18" customHeight="1"/>
    <row r="1009" ht="18" customHeight="1"/>
    <row r="1010" ht="18" customHeight="1"/>
    <row r="1011" ht="18" customHeight="1"/>
    <row r="1012" ht="18" customHeight="1"/>
    <row r="1013" ht="18" customHeight="1"/>
    <row r="1014" ht="18" customHeight="1"/>
    <row r="1015" ht="18" customHeight="1"/>
    <row r="1016" ht="18" customHeight="1"/>
    <row r="1017" ht="18" customHeight="1"/>
    <row r="1018" ht="18" customHeight="1"/>
    <row r="1019" ht="18" customHeight="1"/>
    <row r="1020" ht="18" customHeight="1"/>
    <row r="1021" ht="18" customHeight="1"/>
    <row r="1022" ht="18" customHeight="1"/>
    <row r="1023" ht="18" customHeight="1"/>
    <row r="1024" ht="18" customHeight="1"/>
    <row r="1025" ht="18" customHeight="1"/>
    <row r="1026" ht="18" customHeight="1"/>
    <row r="1027" ht="18" customHeight="1"/>
    <row r="1028" ht="18" customHeight="1"/>
    <row r="1029" ht="18" customHeight="1"/>
    <row r="1030" ht="18" customHeight="1"/>
    <row r="1031" ht="18" customHeight="1"/>
    <row r="1032" ht="18" customHeight="1"/>
    <row r="1033" ht="18" customHeight="1"/>
    <row r="1034" ht="18" customHeight="1"/>
    <row r="1035" ht="18" customHeight="1"/>
    <row r="1036" ht="18" customHeight="1"/>
    <row r="1037" ht="18" customHeight="1"/>
    <row r="1038" ht="18" customHeight="1"/>
    <row r="1039" ht="18" customHeight="1"/>
    <row r="1040" ht="18" customHeight="1"/>
    <row r="1041" ht="18" customHeight="1"/>
    <row r="1042" ht="18" customHeight="1"/>
    <row r="1043" ht="18" customHeight="1"/>
    <row r="1044" ht="18" customHeight="1"/>
    <row r="1045" ht="18" customHeight="1"/>
    <row r="1046" ht="18" customHeight="1"/>
    <row r="1047" ht="18" customHeight="1"/>
    <row r="1048" ht="18" customHeight="1"/>
    <row r="1049" ht="18" customHeight="1"/>
    <row r="1050" ht="18" customHeight="1"/>
    <row r="1051" ht="18" customHeight="1"/>
    <row r="1052" ht="18" customHeight="1"/>
    <row r="1053" ht="18" customHeight="1"/>
    <row r="1054" ht="18" customHeight="1"/>
    <row r="1055" ht="18" customHeight="1"/>
    <row r="1056" ht="18" customHeight="1"/>
    <row r="1057" ht="18" customHeight="1"/>
    <row r="1058" ht="18" customHeight="1"/>
    <row r="1059" ht="18" customHeight="1"/>
    <row r="1060" ht="18" customHeight="1"/>
    <row r="1061" ht="18" customHeight="1"/>
    <row r="1062" ht="18" customHeight="1"/>
    <row r="1063" ht="18" customHeight="1"/>
    <row r="1064" ht="18" customHeight="1"/>
    <row r="1065" ht="18" customHeight="1"/>
    <row r="1066" ht="18" customHeight="1"/>
    <row r="1067" ht="18" customHeight="1"/>
    <row r="1068" ht="18" customHeight="1"/>
    <row r="1069" ht="18" customHeight="1"/>
    <row r="1070" ht="18" customHeight="1"/>
    <row r="1071" ht="18" customHeight="1"/>
    <row r="1072" ht="18" customHeight="1"/>
    <row r="1073" ht="18" customHeight="1"/>
    <row r="1074" ht="18" customHeight="1"/>
    <row r="1075" ht="18" customHeight="1"/>
    <row r="1076" ht="18" customHeight="1"/>
    <row r="1077" ht="18" customHeight="1"/>
    <row r="1078" ht="18" customHeight="1"/>
    <row r="1079" ht="18" customHeight="1"/>
    <row r="1080" ht="18" customHeight="1"/>
    <row r="1081" ht="18" customHeight="1"/>
    <row r="1082" ht="18" customHeight="1"/>
    <row r="1083" ht="18" customHeight="1"/>
    <row r="1084" ht="18" customHeight="1"/>
    <row r="1085" ht="18" customHeight="1"/>
    <row r="1086" ht="18" customHeight="1"/>
    <row r="1087" ht="18" customHeight="1"/>
    <row r="1088" ht="18" customHeight="1"/>
    <row r="1089" ht="18" customHeight="1"/>
    <row r="1090" ht="18" customHeight="1"/>
    <row r="1091" ht="18" customHeight="1"/>
    <row r="1092" ht="18" customHeight="1"/>
    <row r="1093" ht="18" customHeight="1"/>
    <row r="1094" ht="18" customHeight="1"/>
    <row r="1095" ht="18" customHeight="1"/>
    <row r="1096" ht="18" customHeight="1"/>
    <row r="1097" ht="18" customHeight="1"/>
    <row r="1098" ht="18" customHeight="1"/>
    <row r="1099" ht="18" customHeight="1"/>
    <row r="1100" ht="18" customHeight="1"/>
    <row r="1101" ht="18" customHeight="1"/>
    <row r="1102" ht="18" customHeight="1"/>
    <row r="1103" ht="18" customHeight="1"/>
    <row r="1104" ht="18" customHeight="1"/>
    <row r="1105" ht="18" customHeight="1"/>
    <row r="1106" ht="18" customHeight="1"/>
    <row r="1107" ht="18" customHeight="1"/>
    <row r="1108" ht="18" customHeight="1"/>
    <row r="1109" ht="18" customHeight="1"/>
    <row r="1110" ht="18" customHeight="1"/>
    <row r="1111" ht="18" customHeight="1"/>
    <row r="1112" ht="18" customHeight="1"/>
    <row r="1113" ht="18" customHeight="1"/>
    <row r="1114" ht="18" customHeight="1"/>
    <row r="1115" ht="18" customHeight="1"/>
    <row r="1116" ht="18" customHeight="1"/>
    <row r="1117" ht="18" customHeight="1"/>
    <row r="1118" ht="18" customHeight="1"/>
    <row r="1119" ht="18" customHeight="1"/>
    <row r="1120" ht="18" customHeight="1"/>
    <row r="1121" ht="18" customHeight="1"/>
    <row r="1122" ht="18" customHeight="1"/>
    <row r="1123" ht="18" customHeight="1"/>
    <row r="1124" ht="18" customHeight="1"/>
    <row r="1125" ht="18" customHeight="1"/>
    <row r="1126" ht="18" customHeight="1"/>
    <row r="1127" ht="18" customHeight="1"/>
    <row r="1128" ht="18" customHeight="1"/>
    <row r="1129" ht="18" customHeight="1"/>
    <row r="1130" ht="18" customHeight="1"/>
    <row r="1131" ht="18" customHeight="1"/>
    <row r="1132" ht="18" customHeight="1"/>
    <row r="1133" ht="18" customHeight="1"/>
    <row r="1134" ht="18" customHeight="1"/>
    <row r="1135" ht="18" customHeight="1"/>
    <row r="1136" ht="18" customHeight="1"/>
    <row r="1137" ht="18" customHeight="1"/>
    <row r="1138" ht="18" customHeight="1"/>
    <row r="1139" ht="18" customHeight="1"/>
    <row r="1140" ht="18" customHeight="1"/>
    <row r="1141" ht="18" customHeight="1"/>
    <row r="1142" ht="18" customHeight="1"/>
    <row r="1143" ht="18" customHeight="1"/>
    <row r="1144" ht="18" customHeight="1"/>
    <row r="1145" ht="18" customHeight="1"/>
    <row r="1146" ht="18" customHeight="1"/>
    <row r="1147" ht="18" customHeight="1"/>
    <row r="1148" ht="18" customHeight="1"/>
    <row r="1149" ht="18" customHeight="1"/>
    <row r="1150" ht="18" customHeight="1"/>
    <row r="1151" ht="18" customHeight="1"/>
    <row r="1152" ht="18" customHeight="1"/>
    <row r="1153" ht="18" customHeight="1"/>
    <row r="1154" ht="18" customHeight="1"/>
    <row r="1155" ht="18" customHeight="1"/>
    <row r="1156" ht="18" customHeight="1"/>
    <row r="1157" ht="18" customHeight="1"/>
    <row r="1158" ht="18" customHeight="1"/>
    <row r="1159" ht="18" customHeight="1"/>
    <row r="1160" ht="18" customHeight="1"/>
    <row r="1161" ht="18" customHeight="1"/>
    <row r="1162" ht="18" customHeight="1"/>
    <row r="1163" ht="18" customHeight="1"/>
    <row r="1164" ht="18" customHeight="1"/>
    <row r="1165" ht="18" customHeight="1"/>
    <row r="1166" ht="18" customHeight="1"/>
    <row r="1167" ht="18" customHeight="1"/>
    <row r="1168" ht="18" customHeight="1"/>
    <row r="1169" ht="18" customHeight="1"/>
    <row r="1170" ht="18" customHeight="1"/>
    <row r="1171" ht="18" customHeight="1"/>
    <row r="1172" ht="18" customHeight="1"/>
    <row r="1173" ht="18" customHeight="1"/>
    <row r="1174" ht="18" customHeight="1"/>
    <row r="1175" ht="18" customHeight="1"/>
    <row r="1176" ht="18" customHeight="1"/>
    <row r="1177" ht="18" customHeight="1"/>
    <row r="1178" ht="18" customHeight="1"/>
    <row r="1179" ht="18" customHeight="1"/>
    <row r="1180" ht="18" customHeight="1"/>
    <row r="1181" ht="18" customHeight="1"/>
    <row r="1182" ht="18" customHeight="1"/>
    <row r="1183" ht="18" customHeight="1"/>
    <row r="1184" ht="18" customHeight="1"/>
    <row r="1185" ht="18" customHeight="1"/>
    <row r="1186" ht="18" customHeight="1"/>
    <row r="1187" ht="18" customHeight="1"/>
    <row r="1188" ht="18" customHeight="1"/>
    <row r="1189" ht="18" customHeight="1"/>
    <row r="1190" ht="18" customHeight="1"/>
    <row r="1191" ht="18" customHeight="1"/>
    <row r="1192" ht="18" customHeight="1"/>
    <row r="1193" ht="18" customHeight="1"/>
    <row r="1194" ht="18" customHeight="1"/>
    <row r="1195" ht="18" customHeight="1"/>
    <row r="1196" ht="18" customHeight="1"/>
    <row r="1197" ht="18" customHeight="1"/>
    <row r="1198" ht="18" customHeight="1"/>
    <row r="1199" ht="18" customHeight="1"/>
    <row r="1200" ht="18" customHeight="1"/>
    <row r="1201" ht="18" customHeight="1"/>
    <row r="1202" ht="18" customHeight="1"/>
    <row r="1203" ht="18" customHeight="1"/>
    <row r="1204" ht="18" customHeight="1"/>
    <row r="1205" ht="18" customHeight="1"/>
    <row r="1206" ht="18" customHeight="1"/>
    <row r="1207" ht="18" customHeight="1"/>
    <row r="1208" ht="18" customHeight="1"/>
    <row r="1209" ht="18" customHeight="1"/>
    <row r="1210" ht="18" customHeight="1"/>
    <row r="1211" ht="18" customHeight="1"/>
    <row r="1212" ht="18" customHeight="1"/>
    <row r="1213" ht="18" customHeight="1"/>
    <row r="1214" ht="18" customHeight="1"/>
    <row r="1215" ht="18" customHeight="1"/>
    <row r="1216" ht="18" customHeight="1"/>
    <row r="1217" ht="18" customHeight="1"/>
    <row r="1218" ht="18" customHeight="1"/>
    <row r="1219" ht="18" customHeight="1"/>
    <row r="1220" ht="18" customHeight="1"/>
    <row r="1221" ht="18" customHeight="1"/>
    <row r="1222" ht="18" customHeight="1"/>
    <row r="1223" ht="18" customHeight="1"/>
    <row r="1224" ht="18" customHeight="1"/>
    <row r="1225" ht="18" customHeight="1"/>
    <row r="1226" ht="18" customHeight="1"/>
    <row r="1227" ht="18" customHeight="1"/>
    <row r="1228" ht="18" customHeight="1"/>
    <row r="1229" ht="18" customHeight="1"/>
    <row r="1230" ht="18" customHeight="1"/>
    <row r="1231" ht="18" customHeight="1"/>
    <row r="1232" ht="18" customHeight="1"/>
    <row r="1233" ht="18" customHeight="1"/>
    <row r="1234" ht="18" customHeight="1"/>
    <row r="1235" ht="18" customHeight="1"/>
    <row r="1236" ht="18" customHeight="1"/>
    <row r="1237" ht="18" customHeight="1"/>
    <row r="1238" ht="18" customHeight="1"/>
    <row r="1239" ht="18" customHeight="1"/>
    <row r="1240" ht="18" customHeight="1"/>
    <row r="1241" ht="18" customHeight="1"/>
    <row r="1242" ht="18" customHeight="1"/>
    <row r="1243" ht="18" customHeight="1"/>
    <row r="1244" ht="18" customHeight="1"/>
    <row r="1245" ht="18" customHeight="1"/>
    <row r="1246" ht="18" customHeight="1"/>
    <row r="1247" ht="18" customHeight="1"/>
    <row r="1248" ht="18" customHeight="1"/>
    <row r="1249" ht="18" customHeight="1"/>
    <row r="1250" ht="18" customHeight="1"/>
    <row r="1251" ht="18" customHeight="1"/>
    <row r="1252" ht="18" customHeight="1"/>
    <row r="1253" ht="18" customHeight="1"/>
    <row r="1254" ht="18" customHeight="1"/>
    <row r="1255" ht="18" customHeight="1"/>
    <row r="1256" ht="18" customHeight="1"/>
    <row r="1257" ht="18" customHeight="1"/>
    <row r="1258" ht="18" customHeight="1"/>
    <row r="1259" ht="18" customHeight="1"/>
    <row r="1260" ht="18" customHeight="1"/>
    <row r="1261" ht="18" customHeight="1"/>
    <row r="1262" ht="18" customHeight="1"/>
    <row r="1263" ht="18" customHeight="1"/>
    <row r="1264" ht="18" customHeight="1"/>
    <row r="1265" ht="18" customHeight="1"/>
    <row r="1266" ht="18" customHeight="1"/>
  </sheetData>
  <phoneticPr fontId="26"/>
  <conditionalFormatting sqref="C24">
    <cfRule type="expression" dxfId="1" priority="2" stopIfTrue="1">
      <formula>#REF!="設計"</formula>
    </cfRule>
  </conditionalFormatting>
  <conditionalFormatting sqref="H23">
    <cfRule type="expression" dxfId="0" priority="1" stopIfTrue="1">
      <formula>$DA22&lt;&gt;""</formula>
    </cfRule>
  </conditionalFormatting>
  <printOptions horizontalCentered="1" verticalCentered="1"/>
  <pageMargins left="0.70866141732283472" right="0.70866141732283472" top="0.74803149606299213" bottom="0.74803149606299213" header="0.31496062992125984" footer="0.31496062992125984"/>
  <pageSetup paperSize="9" orientation="landscape" r:id="rId1"/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0" tint="-0.499984740745262"/>
  </sheetPr>
  <dimension ref="A1:U280"/>
  <sheetViews>
    <sheetView showZeros="0" zoomScaleNormal="100" zoomScaleSheetLayoutView="100" workbookViewId="0">
      <pane xSplit="2" ySplit="1" topLeftCell="C2" activePane="bottomRight" state="frozen"/>
      <selection pane="topRight" activeCell="K1" sqref="K1"/>
      <selection pane="bottomLeft" activeCell="A2" sqref="A2"/>
      <selection pane="bottomRight" activeCell="V1" sqref="V1"/>
    </sheetView>
  </sheetViews>
  <sheetFormatPr defaultRowHeight="12"/>
  <cols>
    <col min="1" max="1" width="4.69921875" customWidth="1"/>
    <col min="2" max="2" width="21.69921875" customWidth="1"/>
    <col min="3" max="4" width="9.59765625" bestFit="1" customWidth="1"/>
    <col min="5" max="5" width="10.09765625" bestFit="1" customWidth="1"/>
    <col min="6" max="13" width="9.59765625" bestFit="1" customWidth="1"/>
  </cols>
  <sheetData>
    <row r="1" spans="1:21" ht="14">
      <c r="A1" s="163" t="s">
        <v>50</v>
      </c>
      <c r="B1" s="164" t="s">
        <v>16</v>
      </c>
      <c r="C1" s="165" t="s">
        <v>51</v>
      </c>
      <c r="D1" s="165" t="s">
        <v>52</v>
      </c>
      <c r="E1" s="165" t="s">
        <v>53</v>
      </c>
      <c r="F1" s="165" t="s">
        <v>54</v>
      </c>
      <c r="G1" s="165" t="s">
        <v>55</v>
      </c>
      <c r="H1" s="165" t="s">
        <v>56</v>
      </c>
      <c r="I1" s="165" t="s">
        <v>57</v>
      </c>
      <c r="J1" s="165" t="s">
        <v>58</v>
      </c>
      <c r="K1" s="166" t="s">
        <v>59</v>
      </c>
      <c r="L1" s="167" t="s">
        <v>60</v>
      </c>
      <c r="M1" s="167" t="s">
        <v>61</v>
      </c>
      <c r="N1" s="167" t="s">
        <v>176</v>
      </c>
      <c r="O1" s="167" t="s">
        <v>161</v>
      </c>
      <c r="P1" s="167" t="s">
        <v>172</v>
      </c>
      <c r="Q1" s="167" t="s">
        <v>174</v>
      </c>
      <c r="R1" s="167" t="s">
        <v>179</v>
      </c>
      <c r="S1" s="167" t="s">
        <v>181</v>
      </c>
      <c r="T1" s="167" t="s">
        <v>187</v>
      </c>
      <c r="U1" s="167" t="s">
        <v>189</v>
      </c>
    </row>
    <row r="2" spans="1:21" ht="14">
      <c r="A2" s="168"/>
      <c r="B2" s="169" t="s">
        <v>62</v>
      </c>
      <c r="C2" s="290">
        <v>52800</v>
      </c>
      <c r="D2" s="291">
        <v>54100</v>
      </c>
      <c r="E2" s="170">
        <v>55800</v>
      </c>
      <c r="F2" s="291">
        <v>56900</v>
      </c>
      <c r="G2" s="291">
        <v>56600</v>
      </c>
      <c r="H2" s="292">
        <v>55000</v>
      </c>
      <c r="I2" s="292">
        <v>54700</v>
      </c>
      <c r="J2" s="292">
        <v>57000</v>
      </c>
      <c r="K2" s="292">
        <v>60100</v>
      </c>
      <c r="L2" s="292">
        <v>63700</v>
      </c>
      <c r="M2" s="292">
        <v>64300</v>
      </c>
      <c r="N2" s="292">
        <v>65500</v>
      </c>
      <c r="O2" s="292">
        <v>68800</v>
      </c>
      <c r="P2" s="292">
        <v>69800</v>
      </c>
      <c r="Q2" s="292">
        <v>69800</v>
      </c>
      <c r="R2" s="292">
        <v>70600</v>
      </c>
      <c r="S2" s="292">
        <v>74900</v>
      </c>
      <c r="T2" s="292">
        <v>80200</v>
      </c>
      <c r="U2" s="292">
        <v>88600</v>
      </c>
    </row>
    <row r="3" spans="1:21" ht="14">
      <c r="A3" s="171"/>
      <c r="B3" s="172" t="s">
        <v>63</v>
      </c>
      <c r="C3" s="293">
        <v>51400</v>
      </c>
      <c r="D3" s="292">
        <v>51600</v>
      </c>
      <c r="E3" s="173">
        <v>52400</v>
      </c>
      <c r="F3" s="292">
        <v>52100</v>
      </c>
      <c r="G3" s="292">
        <v>51800</v>
      </c>
      <c r="H3" s="292">
        <v>50900</v>
      </c>
      <c r="I3" s="292">
        <v>50800</v>
      </c>
      <c r="J3" s="292">
        <v>52900</v>
      </c>
      <c r="K3" s="292">
        <v>55800</v>
      </c>
      <c r="L3" s="292">
        <v>58400</v>
      </c>
      <c r="M3" s="292">
        <v>60400</v>
      </c>
      <c r="N3" s="292">
        <v>61700</v>
      </c>
      <c r="O3" s="292">
        <v>63500</v>
      </c>
      <c r="P3" s="292">
        <v>64800</v>
      </c>
      <c r="Q3" s="292">
        <v>65500</v>
      </c>
      <c r="R3" s="292">
        <v>66900</v>
      </c>
      <c r="S3" s="292">
        <v>70900</v>
      </c>
      <c r="T3" s="292">
        <v>75800</v>
      </c>
      <c r="U3" s="292">
        <v>77500</v>
      </c>
    </row>
    <row r="4" spans="1:21" ht="14">
      <c r="A4" s="171" t="s">
        <v>64</v>
      </c>
      <c r="B4" s="172" t="s">
        <v>65</v>
      </c>
      <c r="C4" s="293">
        <v>45800</v>
      </c>
      <c r="D4" s="292">
        <v>45900</v>
      </c>
      <c r="E4" s="173">
        <v>47100</v>
      </c>
      <c r="F4" s="292">
        <v>45900</v>
      </c>
      <c r="G4" s="292">
        <v>45300</v>
      </c>
      <c r="H4" s="292">
        <v>44800</v>
      </c>
      <c r="I4" s="292">
        <v>44700</v>
      </c>
      <c r="J4" s="292">
        <v>47000</v>
      </c>
      <c r="K4" s="292">
        <v>49500</v>
      </c>
      <c r="L4" s="292">
        <v>49900</v>
      </c>
      <c r="M4" s="292">
        <v>51200</v>
      </c>
      <c r="N4" s="292">
        <v>52700</v>
      </c>
      <c r="O4" s="292">
        <v>53800</v>
      </c>
      <c r="P4" s="292">
        <v>55300</v>
      </c>
      <c r="Q4" s="292">
        <v>57400</v>
      </c>
      <c r="R4" s="292">
        <v>58600</v>
      </c>
      <c r="S4" s="292">
        <v>62200</v>
      </c>
      <c r="T4" s="292">
        <v>64800</v>
      </c>
      <c r="U4" s="292">
        <v>66900</v>
      </c>
    </row>
    <row r="5" spans="1:21" ht="14">
      <c r="A5" s="171"/>
      <c r="B5" s="172" t="s">
        <v>66</v>
      </c>
      <c r="C5" s="293">
        <v>38300</v>
      </c>
      <c r="D5" s="292">
        <v>38300</v>
      </c>
      <c r="E5" s="173">
        <v>39300</v>
      </c>
      <c r="F5" s="292">
        <v>38900</v>
      </c>
      <c r="G5" s="292">
        <v>38900</v>
      </c>
      <c r="H5" s="292">
        <v>38500</v>
      </c>
      <c r="I5" s="292">
        <v>38900</v>
      </c>
      <c r="J5" s="292">
        <v>41000</v>
      </c>
      <c r="K5" s="292">
        <v>42800</v>
      </c>
      <c r="L5" s="292">
        <v>43500</v>
      </c>
      <c r="M5" s="292">
        <v>45500</v>
      </c>
      <c r="N5" s="292">
        <v>46300</v>
      </c>
      <c r="O5" s="292">
        <v>47500</v>
      </c>
      <c r="P5" s="292">
        <v>48700</v>
      </c>
      <c r="Q5" s="292">
        <v>51200</v>
      </c>
      <c r="R5" s="292">
        <v>51200</v>
      </c>
      <c r="S5" s="292">
        <v>55200</v>
      </c>
      <c r="T5" s="292">
        <v>57000</v>
      </c>
      <c r="U5" s="292">
        <v>59600</v>
      </c>
    </row>
    <row r="6" spans="1:21" ht="14">
      <c r="A6" s="171"/>
      <c r="B6" s="172" t="s">
        <v>67</v>
      </c>
      <c r="C6" s="293">
        <v>30300</v>
      </c>
      <c r="D6" s="292">
        <v>30500</v>
      </c>
      <c r="E6" s="173">
        <v>31300</v>
      </c>
      <c r="F6" s="292">
        <v>31300</v>
      </c>
      <c r="G6" s="292">
        <v>31600</v>
      </c>
      <c r="H6" s="292">
        <v>31300</v>
      </c>
      <c r="I6" s="292">
        <v>31500</v>
      </c>
      <c r="J6" s="292">
        <v>33400</v>
      </c>
      <c r="K6" s="292">
        <v>35100</v>
      </c>
      <c r="L6" s="292">
        <v>36600</v>
      </c>
      <c r="M6" s="292">
        <v>37200</v>
      </c>
      <c r="N6" s="292">
        <v>37900</v>
      </c>
      <c r="O6" s="292">
        <v>39100</v>
      </c>
      <c r="P6" s="292">
        <v>40600</v>
      </c>
      <c r="Q6" s="292">
        <v>40600</v>
      </c>
      <c r="R6" s="292">
        <v>41600</v>
      </c>
      <c r="S6" s="292">
        <v>45300</v>
      </c>
      <c r="T6" s="292">
        <v>47200</v>
      </c>
      <c r="U6" s="292">
        <v>48500</v>
      </c>
    </row>
    <row r="7" spans="1:21" ht="14">
      <c r="A7" s="171"/>
      <c r="B7" s="172" t="s">
        <v>68</v>
      </c>
      <c r="C7" s="293">
        <v>26000</v>
      </c>
      <c r="D7" s="292">
        <v>26000</v>
      </c>
      <c r="E7" s="173">
        <v>26200</v>
      </c>
      <c r="F7" s="292">
        <v>26500</v>
      </c>
      <c r="G7" s="292">
        <v>26200</v>
      </c>
      <c r="H7" s="292">
        <v>25700</v>
      </c>
      <c r="I7" s="292">
        <v>26200</v>
      </c>
      <c r="J7" s="292">
        <v>27100</v>
      </c>
      <c r="K7" s="292">
        <v>28400</v>
      </c>
      <c r="L7" s="292">
        <v>29900</v>
      </c>
      <c r="M7" s="292">
        <v>30000</v>
      </c>
      <c r="N7" s="292">
        <v>30800</v>
      </c>
      <c r="O7" s="292">
        <v>32000</v>
      </c>
      <c r="P7" s="292">
        <v>32700</v>
      </c>
      <c r="Q7" s="292">
        <v>32800</v>
      </c>
      <c r="R7" s="292">
        <v>32800</v>
      </c>
      <c r="S7" s="292">
        <v>35600</v>
      </c>
      <c r="T7" s="292">
        <v>38400</v>
      </c>
      <c r="U7" s="292">
        <v>40300</v>
      </c>
    </row>
    <row r="8" spans="1:21" ht="14">
      <c r="A8" s="171" t="s">
        <v>69</v>
      </c>
      <c r="B8" s="172" t="s">
        <v>70</v>
      </c>
      <c r="C8" s="293">
        <v>22100</v>
      </c>
      <c r="D8" s="292">
        <v>22100</v>
      </c>
      <c r="E8" s="173">
        <v>22400</v>
      </c>
      <c r="F8" s="292">
        <v>23000</v>
      </c>
      <c r="G8" s="292">
        <v>22700</v>
      </c>
      <c r="H8" s="292">
        <v>22200</v>
      </c>
      <c r="I8" s="292">
        <v>21800</v>
      </c>
      <c r="J8" s="292">
        <v>22600</v>
      </c>
      <c r="K8" s="292">
        <v>23800</v>
      </c>
      <c r="L8" s="292">
        <v>25100</v>
      </c>
      <c r="M8" s="292">
        <v>25400</v>
      </c>
      <c r="N8" s="292">
        <v>26200</v>
      </c>
      <c r="O8" s="292">
        <v>26400</v>
      </c>
      <c r="P8" s="292">
        <v>27900</v>
      </c>
      <c r="Q8" s="292">
        <v>29000</v>
      </c>
      <c r="R8" s="292">
        <v>29000</v>
      </c>
      <c r="S8" s="292">
        <v>31600</v>
      </c>
      <c r="T8" s="292">
        <v>33600</v>
      </c>
      <c r="U8" s="292">
        <v>36100</v>
      </c>
    </row>
    <row r="9" spans="1:21" ht="14">
      <c r="A9" s="171"/>
      <c r="B9" s="172" t="s">
        <v>71</v>
      </c>
      <c r="C9" s="174"/>
      <c r="D9" s="175">
        <v>18700</v>
      </c>
      <c r="E9" s="175">
        <v>19700</v>
      </c>
      <c r="F9" s="175">
        <f>F15</f>
        <v>20300</v>
      </c>
      <c r="G9" s="175">
        <f>G15</f>
        <v>20900</v>
      </c>
      <c r="H9" s="175">
        <f>H15</f>
        <v>21100</v>
      </c>
      <c r="I9" s="175">
        <f>I15</f>
        <v>20300</v>
      </c>
      <c r="J9" s="195">
        <v>21700</v>
      </c>
      <c r="K9" s="250">
        <v>23400</v>
      </c>
      <c r="L9" s="250">
        <v>25600</v>
      </c>
      <c r="M9" s="250">
        <v>26800</v>
      </c>
      <c r="N9" s="250">
        <v>28000</v>
      </c>
      <c r="O9" s="250">
        <v>29400</v>
      </c>
      <c r="P9" s="250"/>
      <c r="Q9" s="250"/>
      <c r="R9" s="250"/>
      <c r="S9" s="250"/>
      <c r="T9" s="250"/>
      <c r="U9" s="250"/>
    </row>
    <row r="10" spans="1:21" ht="14">
      <c r="A10" s="177"/>
      <c r="B10" s="178" t="s">
        <v>177</v>
      </c>
      <c r="C10" s="174"/>
      <c r="D10" s="175">
        <v>15500</v>
      </c>
      <c r="E10" s="175">
        <v>15500</v>
      </c>
      <c r="F10" s="175">
        <v>15500</v>
      </c>
      <c r="G10" s="175">
        <v>15500</v>
      </c>
      <c r="H10" s="175">
        <v>15500</v>
      </c>
      <c r="I10" s="175">
        <v>15500</v>
      </c>
      <c r="J10" s="176"/>
      <c r="K10" s="176"/>
      <c r="L10" s="176"/>
      <c r="M10" s="176"/>
      <c r="N10" s="176"/>
      <c r="O10" s="176"/>
      <c r="P10" s="176"/>
      <c r="Q10" s="176"/>
      <c r="R10" s="176"/>
      <c r="S10" s="176"/>
      <c r="T10" s="176"/>
      <c r="U10" s="176"/>
    </row>
    <row r="11" spans="1:21" ht="14">
      <c r="A11" s="168"/>
      <c r="B11" s="179" t="s">
        <v>72</v>
      </c>
      <c r="C11" s="290">
        <v>45100</v>
      </c>
      <c r="D11" s="291">
        <v>44600</v>
      </c>
      <c r="E11" s="170">
        <v>43300</v>
      </c>
      <c r="F11" s="291">
        <v>41900</v>
      </c>
      <c r="G11" s="291">
        <v>42300</v>
      </c>
      <c r="H11" s="291">
        <v>40900</v>
      </c>
      <c r="I11" s="291">
        <v>42000</v>
      </c>
      <c r="J11" s="291"/>
      <c r="K11" s="291"/>
      <c r="L11" s="291"/>
      <c r="M11" s="291"/>
      <c r="N11" s="291"/>
      <c r="O11" s="291"/>
      <c r="P11" s="291"/>
      <c r="Q11" s="291"/>
      <c r="R11" s="291"/>
      <c r="S11" s="291"/>
      <c r="T11" s="291"/>
      <c r="U11" s="291"/>
    </row>
    <row r="12" spans="1:21" ht="14">
      <c r="A12" s="171" t="s">
        <v>73</v>
      </c>
      <c r="B12" s="172" t="s">
        <v>74</v>
      </c>
      <c r="C12" s="293">
        <v>31900</v>
      </c>
      <c r="D12" s="292">
        <v>31100</v>
      </c>
      <c r="E12" s="173">
        <v>30300</v>
      </c>
      <c r="F12" s="292">
        <v>31200</v>
      </c>
      <c r="G12" s="292">
        <v>31100</v>
      </c>
      <c r="H12" s="292">
        <v>31000</v>
      </c>
      <c r="I12" s="292">
        <v>31600</v>
      </c>
      <c r="J12" s="292">
        <v>35200</v>
      </c>
      <c r="K12" s="292">
        <v>38100</v>
      </c>
      <c r="L12" s="292">
        <v>39000</v>
      </c>
      <c r="M12" s="292">
        <v>41400</v>
      </c>
      <c r="N12" s="292">
        <v>42200</v>
      </c>
      <c r="O12" s="292">
        <v>43500</v>
      </c>
      <c r="P12" s="292">
        <v>45400</v>
      </c>
      <c r="Q12" s="292">
        <v>45700</v>
      </c>
      <c r="R12" s="292">
        <v>48000</v>
      </c>
      <c r="S12" s="292">
        <v>51000</v>
      </c>
      <c r="T12" s="292">
        <v>54600</v>
      </c>
      <c r="U12" s="292">
        <v>60600</v>
      </c>
    </row>
    <row r="13" spans="1:21" ht="14">
      <c r="A13" s="171"/>
      <c r="B13" s="172" t="s">
        <v>75</v>
      </c>
      <c r="C13" s="293">
        <v>24900</v>
      </c>
      <c r="D13" s="292">
        <v>24700</v>
      </c>
      <c r="E13" s="173">
        <v>24700</v>
      </c>
      <c r="F13" s="292">
        <v>25500</v>
      </c>
      <c r="G13" s="292">
        <v>25800</v>
      </c>
      <c r="H13" s="292">
        <v>25700</v>
      </c>
      <c r="I13" s="292">
        <v>25700</v>
      </c>
      <c r="J13" s="292">
        <v>26900</v>
      </c>
      <c r="K13" s="292">
        <v>29200</v>
      </c>
      <c r="L13" s="292">
        <v>30500</v>
      </c>
      <c r="M13" s="292">
        <v>33300</v>
      </c>
      <c r="N13" s="292">
        <v>34800</v>
      </c>
      <c r="O13" s="292">
        <v>37600</v>
      </c>
      <c r="P13" s="292">
        <v>40000</v>
      </c>
      <c r="Q13" s="292">
        <v>40000</v>
      </c>
      <c r="R13" s="292">
        <v>42200</v>
      </c>
      <c r="S13" s="292">
        <v>44000</v>
      </c>
      <c r="T13" s="292">
        <v>47100</v>
      </c>
      <c r="U13" s="292">
        <v>52300</v>
      </c>
    </row>
    <row r="14" spans="1:21" ht="14">
      <c r="A14" s="171" t="s">
        <v>76</v>
      </c>
      <c r="B14" s="172" t="s">
        <v>77</v>
      </c>
      <c r="C14" s="293">
        <v>20400</v>
      </c>
      <c r="D14" s="292">
        <v>20400</v>
      </c>
      <c r="E14" s="173">
        <v>20900</v>
      </c>
      <c r="F14" s="292">
        <v>21700</v>
      </c>
      <c r="G14" s="292">
        <v>21500</v>
      </c>
      <c r="H14" s="292">
        <v>21600</v>
      </c>
      <c r="I14" s="292">
        <v>22400</v>
      </c>
      <c r="J14" s="292">
        <v>24600</v>
      </c>
      <c r="K14" s="292">
        <v>25500</v>
      </c>
      <c r="L14" s="292">
        <v>25700</v>
      </c>
      <c r="M14" s="292">
        <v>26900</v>
      </c>
      <c r="N14" s="292">
        <v>28100</v>
      </c>
      <c r="O14" s="292">
        <v>29500</v>
      </c>
      <c r="P14" s="292">
        <v>29700</v>
      </c>
      <c r="Q14" s="292">
        <v>30700</v>
      </c>
      <c r="R14" s="292">
        <v>32400</v>
      </c>
      <c r="S14" s="292">
        <v>34300</v>
      </c>
      <c r="T14" s="292">
        <v>36900</v>
      </c>
      <c r="U14" s="292">
        <v>41100</v>
      </c>
    </row>
    <row r="15" spans="1:21" ht="14">
      <c r="A15" s="171"/>
      <c r="B15" s="196" t="s">
        <v>78</v>
      </c>
      <c r="C15" s="293">
        <v>18500</v>
      </c>
      <c r="D15" s="292">
        <v>19300</v>
      </c>
      <c r="E15" s="173">
        <v>19700</v>
      </c>
      <c r="F15" s="292">
        <v>20300</v>
      </c>
      <c r="G15" s="292">
        <v>20900</v>
      </c>
      <c r="H15" s="292">
        <v>21100</v>
      </c>
      <c r="I15" s="292">
        <v>20300</v>
      </c>
      <c r="J15" s="292">
        <v>21700</v>
      </c>
      <c r="K15" s="292">
        <v>23400</v>
      </c>
      <c r="L15" s="292">
        <v>25600</v>
      </c>
      <c r="M15" s="292">
        <v>26800</v>
      </c>
      <c r="N15" s="292">
        <v>28000</v>
      </c>
      <c r="O15" s="292">
        <v>29400</v>
      </c>
      <c r="P15" s="292">
        <v>29500</v>
      </c>
      <c r="Q15" s="292">
        <v>29600</v>
      </c>
      <c r="R15" s="292">
        <v>31100</v>
      </c>
      <c r="S15" s="292">
        <v>32200</v>
      </c>
      <c r="T15" s="292">
        <v>34600</v>
      </c>
      <c r="U15" s="292">
        <v>34900</v>
      </c>
    </row>
    <row r="16" spans="1:21" ht="14">
      <c r="A16" s="171"/>
      <c r="B16" s="197" t="s">
        <v>117</v>
      </c>
      <c r="C16" s="294"/>
      <c r="D16" s="294"/>
      <c r="E16" s="180"/>
      <c r="F16" s="294"/>
      <c r="G16" s="294"/>
      <c r="H16" s="294"/>
      <c r="I16" s="294"/>
      <c r="J16" s="294"/>
      <c r="K16" s="294">
        <v>20300</v>
      </c>
      <c r="L16" s="294">
        <v>21500</v>
      </c>
      <c r="M16" s="294">
        <v>21800</v>
      </c>
      <c r="N16" s="294">
        <v>22700</v>
      </c>
      <c r="O16" s="294">
        <v>23100</v>
      </c>
      <c r="P16" s="294">
        <v>23400</v>
      </c>
      <c r="Q16" s="294">
        <v>24200</v>
      </c>
      <c r="R16" s="294">
        <v>25400</v>
      </c>
      <c r="S16" s="294">
        <v>27000</v>
      </c>
      <c r="T16" s="294">
        <v>25900</v>
      </c>
      <c r="U16" s="294">
        <v>28700</v>
      </c>
    </row>
    <row r="17" spans="1:21" ht="14">
      <c r="A17" s="168"/>
      <c r="B17" s="179" t="s">
        <v>79</v>
      </c>
      <c r="C17" s="291">
        <v>40500</v>
      </c>
      <c r="D17" s="291">
        <v>42200</v>
      </c>
      <c r="E17" s="170">
        <v>44100</v>
      </c>
      <c r="F17" s="291">
        <v>44300</v>
      </c>
      <c r="G17" s="291">
        <v>44100</v>
      </c>
      <c r="H17" s="291">
        <v>43500</v>
      </c>
      <c r="I17" s="291">
        <v>43700</v>
      </c>
      <c r="J17" s="291">
        <v>43700</v>
      </c>
      <c r="K17" s="291">
        <v>43700</v>
      </c>
      <c r="L17" s="291">
        <v>43700</v>
      </c>
      <c r="M17" s="291">
        <v>45900</v>
      </c>
      <c r="N17" s="291">
        <v>47000</v>
      </c>
      <c r="O17" s="291">
        <v>50800</v>
      </c>
      <c r="P17" s="291">
        <v>53400</v>
      </c>
      <c r="Q17" s="291">
        <v>53400</v>
      </c>
      <c r="R17" s="291">
        <v>55300</v>
      </c>
      <c r="S17" s="291">
        <v>53600</v>
      </c>
      <c r="T17" s="291">
        <v>56300</v>
      </c>
      <c r="U17" s="291">
        <v>56300</v>
      </c>
    </row>
    <row r="18" spans="1:21" ht="14">
      <c r="A18" s="171" t="s">
        <v>80</v>
      </c>
      <c r="B18" s="172" t="s">
        <v>81</v>
      </c>
      <c r="C18" s="293">
        <v>30400</v>
      </c>
      <c r="D18" s="292">
        <v>30600</v>
      </c>
      <c r="E18" s="173">
        <v>32100</v>
      </c>
      <c r="F18" s="292">
        <v>34100</v>
      </c>
      <c r="G18" s="292">
        <v>34400</v>
      </c>
      <c r="H18" s="292">
        <v>34500</v>
      </c>
      <c r="I18" s="292">
        <v>34100</v>
      </c>
      <c r="J18" s="292">
        <v>34200</v>
      </c>
      <c r="K18" s="292">
        <v>34600</v>
      </c>
      <c r="L18" s="292">
        <v>36000</v>
      </c>
      <c r="M18" s="292">
        <v>36000</v>
      </c>
      <c r="N18" s="292">
        <v>36700</v>
      </c>
      <c r="O18" s="292">
        <v>37800</v>
      </c>
      <c r="P18" s="292">
        <v>40000</v>
      </c>
      <c r="Q18" s="292">
        <v>40700</v>
      </c>
      <c r="R18" s="292">
        <v>42200</v>
      </c>
      <c r="S18" s="292">
        <v>40400</v>
      </c>
      <c r="T18" s="292">
        <v>43200</v>
      </c>
      <c r="U18" s="292">
        <v>43200</v>
      </c>
    </row>
    <row r="19" spans="1:21" ht="14">
      <c r="A19" s="171" t="s">
        <v>82</v>
      </c>
      <c r="B19" s="172" t="s">
        <v>83</v>
      </c>
      <c r="C19" s="293">
        <v>31000</v>
      </c>
      <c r="D19" s="292">
        <v>30400</v>
      </c>
      <c r="E19" s="173">
        <v>30600</v>
      </c>
      <c r="F19" s="292">
        <v>31100</v>
      </c>
      <c r="G19" s="292">
        <v>30400</v>
      </c>
      <c r="H19" s="292">
        <v>30100</v>
      </c>
      <c r="I19" s="292">
        <v>30500</v>
      </c>
      <c r="J19" s="292">
        <v>30800</v>
      </c>
      <c r="K19" s="292">
        <v>31500</v>
      </c>
      <c r="L19" s="292">
        <v>32900</v>
      </c>
      <c r="M19" s="292">
        <v>34100</v>
      </c>
      <c r="N19" s="292">
        <v>35100</v>
      </c>
      <c r="O19" s="292">
        <v>35400</v>
      </c>
      <c r="P19" s="292">
        <v>36300</v>
      </c>
      <c r="Q19" s="292">
        <v>37300</v>
      </c>
      <c r="R19" s="292">
        <v>39300</v>
      </c>
      <c r="S19" s="292">
        <v>41600</v>
      </c>
      <c r="T19" s="292">
        <v>43500</v>
      </c>
      <c r="U19" s="292">
        <v>48200</v>
      </c>
    </row>
    <row r="20" spans="1:21" ht="14">
      <c r="A20" s="171"/>
      <c r="B20" s="196" t="s">
        <v>84</v>
      </c>
      <c r="C20" s="293">
        <v>26400</v>
      </c>
      <c r="D20" s="292">
        <v>25500</v>
      </c>
      <c r="E20" s="173">
        <v>26000</v>
      </c>
      <c r="F20" s="292">
        <v>26000</v>
      </c>
      <c r="G20" s="292">
        <v>26800</v>
      </c>
      <c r="H20" s="292">
        <v>26000</v>
      </c>
      <c r="I20" s="292">
        <v>25900</v>
      </c>
      <c r="J20" s="292">
        <v>26600</v>
      </c>
      <c r="K20" s="292">
        <v>27400</v>
      </c>
      <c r="L20" s="292">
        <v>28000</v>
      </c>
      <c r="M20" s="292">
        <v>30000</v>
      </c>
      <c r="N20" s="292">
        <v>31100</v>
      </c>
      <c r="O20" s="292">
        <v>31100</v>
      </c>
      <c r="P20" s="292">
        <v>31700</v>
      </c>
      <c r="Q20" s="292">
        <v>31800</v>
      </c>
      <c r="R20" s="292">
        <v>31800</v>
      </c>
      <c r="S20" s="292">
        <v>33800</v>
      </c>
      <c r="T20" s="292">
        <v>36100</v>
      </c>
      <c r="U20" s="292">
        <v>36400</v>
      </c>
    </row>
    <row r="21" spans="1:21" ht="14">
      <c r="A21" s="177"/>
      <c r="B21" s="198" t="s">
        <v>118</v>
      </c>
      <c r="C21" s="295"/>
      <c r="D21" s="294"/>
      <c r="E21" s="180"/>
      <c r="F21" s="294"/>
      <c r="G21" s="294"/>
      <c r="H21" s="294"/>
      <c r="I21" s="294"/>
      <c r="J21" s="294"/>
      <c r="K21" s="294">
        <v>23200</v>
      </c>
      <c r="L21" s="294">
        <v>24200</v>
      </c>
      <c r="M21" s="294">
        <v>24900</v>
      </c>
      <c r="N21" s="294">
        <v>26300</v>
      </c>
      <c r="O21" s="294">
        <v>27700</v>
      </c>
      <c r="P21" s="294">
        <v>29000</v>
      </c>
      <c r="Q21" s="294">
        <v>29700</v>
      </c>
      <c r="R21" s="294">
        <v>31400</v>
      </c>
      <c r="S21" s="294">
        <v>33500</v>
      </c>
      <c r="T21" s="294">
        <v>36300</v>
      </c>
      <c r="U21" s="294">
        <v>38300</v>
      </c>
    </row>
    <row r="22" spans="1:21" ht="14">
      <c r="A22" s="168" t="s">
        <v>85</v>
      </c>
      <c r="B22" s="179" t="s">
        <v>86</v>
      </c>
      <c r="C22" s="290">
        <v>32900</v>
      </c>
      <c r="D22" s="291">
        <v>34400</v>
      </c>
      <c r="E22" s="170">
        <v>34800</v>
      </c>
      <c r="F22" s="291">
        <v>34600</v>
      </c>
      <c r="G22" s="291">
        <v>34200</v>
      </c>
      <c r="H22" s="291">
        <v>33400</v>
      </c>
      <c r="I22" s="291">
        <v>33700</v>
      </c>
      <c r="J22" s="291">
        <v>35600</v>
      </c>
      <c r="K22" s="291">
        <v>37400</v>
      </c>
      <c r="L22" s="291">
        <v>39900</v>
      </c>
      <c r="M22" s="291">
        <v>40900</v>
      </c>
      <c r="N22" s="291">
        <v>42900</v>
      </c>
      <c r="O22" s="291">
        <v>45400</v>
      </c>
      <c r="P22" s="291">
        <v>47400</v>
      </c>
      <c r="Q22" s="291">
        <v>47500</v>
      </c>
      <c r="R22" s="291">
        <v>50100</v>
      </c>
      <c r="S22" s="291">
        <v>53800</v>
      </c>
      <c r="T22" s="291">
        <v>53200</v>
      </c>
      <c r="U22" s="291">
        <v>56000</v>
      </c>
    </row>
    <row r="23" spans="1:21" ht="14">
      <c r="A23" s="171"/>
      <c r="B23" s="172" t="s">
        <v>87</v>
      </c>
      <c r="C23" s="293">
        <v>28300</v>
      </c>
      <c r="D23" s="292">
        <v>28800</v>
      </c>
      <c r="E23" s="173">
        <v>27800</v>
      </c>
      <c r="F23" s="292">
        <v>27200</v>
      </c>
      <c r="G23" s="292">
        <v>27400</v>
      </c>
      <c r="H23" s="292">
        <v>27100</v>
      </c>
      <c r="I23" s="292">
        <v>27500</v>
      </c>
      <c r="J23" s="292">
        <v>29900</v>
      </c>
      <c r="K23" s="292">
        <v>31300</v>
      </c>
      <c r="L23" s="292">
        <v>32100</v>
      </c>
      <c r="M23" s="292">
        <v>32400</v>
      </c>
      <c r="N23" s="292">
        <v>33800</v>
      </c>
      <c r="O23" s="292">
        <v>34200</v>
      </c>
      <c r="P23" s="292">
        <v>35000</v>
      </c>
      <c r="Q23" s="292">
        <v>35000</v>
      </c>
      <c r="R23" s="292">
        <v>36800</v>
      </c>
      <c r="S23" s="292">
        <v>39100</v>
      </c>
      <c r="T23" s="292">
        <v>41500</v>
      </c>
      <c r="U23" s="292">
        <v>43800</v>
      </c>
    </row>
    <row r="24" spans="1:21" ht="14.5" thickBot="1">
      <c r="A24" s="181" t="s">
        <v>88</v>
      </c>
      <c r="B24" s="182" t="s">
        <v>89</v>
      </c>
      <c r="C24" s="296">
        <v>20800</v>
      </c>
      <c r="D24" s="297">
        <v>22200</v>
      </c>
      <c r="E24" s="183">
        <v>22000</v>
      </c>
      <c r="F24" s="297">
        <v>21500</v>
      </c>
      <c r="G24" s="297">
        <v>21700</v>
      </c>
      <c r="H24" s="297">
        <v>21300</v>
      </c>
      <c r="I24" s="297">
        <v>20900</v>
      </c>
      <c r="J24" s="297">
        <v>22400</v>
      </c>
      <c r="K24" s="297">
        <v>22400</v>
      </c>
      <c r="L24" s="297">
        <v>23200</v>
      </c>
      <c r="M24" s="297">
        <v>23200</v>
      </c>
      <c r="N24" s="297">
        <v>23500</v>
      </c>
      <c r="O24" s="297">
        <v>24500</v>
      </c>
      <c r="P24" s="297">
        <v>24600</v>
      </c>
      <c r="Q24" s="297">
        <v>25900</v>
      </c>
      <c r="R24" s="297">
        <v>27200</v>
      </c>
      <c r="S24" s="297">
        <v>29100</v>
      </c>
      <c r="T24" s="297">
        <v>31400</v>
      </c>
      <c r="U24" s="297">
        <v>34100</v>
      </c>
    </row>
    <row r="25" spans="1:21" ht="14">
      <c r="A25" s="199"/>
      <c r="B25" s="298" t="s">
        <v>90</v>
      </c>
      <c r="C25" s="184">
        <v>13000</v>
      </c>
      <c r="D25" s="185">
        <v>13300</v>
      </c>
      <c r="E25" s="185">
        <v>13300</v>
      </c>
      <c r="F25" s="185">
        <v>13300</v>
      </c>
      <c r="G25" s="185">
        <v>13300</v>
      </c>
      <c r="H25" s="185">
        <v>12900</v>
      </c>
      <c r="I25" s="185">
        <v>14700</v>
      </c>
      <c r="J25" s="299">
        <f>HLOOKUP(J$36,$C$265:$I$280,2,0)</f>
        <v>15800</v>
      </c>
      <c r="K25" s="299">
        <f>HLOOKUP(K$36,$C$247:$N$262,2,0)</f>
        <v>16400</v>
      </c>
      <c r="L25" s="299">
        <f>HLOOKUP(L$36,$C$229:$N$244,2,0)</f>
        <v>17800</v>
      </c>
      <c r="M25" s="299">
        <f>HLOOKUP(M$36,$C$211:$N$226,2,0)</f>
        <v>17700</v>
      </c>
      <c r="N25" s="299">
        <f>HLOOKUP(N$36,$C$190:$N$208,2,0)</f>
        <v>18000</v>
      </c>
      <c r="O25" s="299">
        <f>HLOOKUP(O$36,$C$169:$N$187,2,0)</f>
        <v>18700</v>
      </c>
      <c r="P25" s="299">
        <f>HLOOKUP(P$36,$C$148:$N$166,2,0)</f>
        <v>19000</v>
      </c>
      <c r="Q25" s="299">
        <f>HLOOKUP(Q$36,$C$127:$N$145,2,0)</f>
        <v>19000</v>
      </c>
      <c r="R25" s="299">
        <f>HLOOKUP(R$36,$C$106:$N$124,2,0)</f>
        <v>19600</v>
      </c>
      <c r="S25" s="299">
        <f>HLOOKUP(S$36,$C$85:$N$103,2,0)</f>
        <v>21000</v>
      </c>
      <c r="T25" s="299">
        <f>HLOOKUP(T$36,$C$64:$N$82,2,0)</f>
        <v>21800</v>
      </c>
      <c r="U25" s="299">
        <f>HLOOKUP(U$36,$C$43:$N$61,2,0)</f>
        <v>23300</v>
      </c>
    </row>
    <row r="26" spans="1:21" ht="14">
      <c r="A26" s="171" t="s">
        <v>119</v>
      </c>
      <c r="B26" s="300" t="s">
        <v>100</v>
      </c>
      <c r="C26" s="186"/>
      <c r="D26" s="185">
        <v>10200</v>
      </c>
      <c r="E26" s="185">
        <v>10200</v>
      </c>
      <c r="F26" s="185">
        <v>10200</v>
      </c>
      <c r="G26" s="185">
        <v>10200</v>
      </c>
      <c r="H26" s="185">
        <v>10400</v>
      </c>
      <c r="I26" s="185">
        <v>11500</v>
      </c>
      <c r="J26" s="299">
        <f>HLOOKUP(J$36,$C$265:$I$280,3,0)</f>
        <v>11900</v>
      </c>
      <c r="K26" s="200">
        <f>HLOOKUP(K$36,$C$247:$N$262,3,0)</f>
        <v>11800</v>
      </c>
      <c r="L26" s="200">
        <f>HLOOKUP(L$36,$C$229:$N$244,3,0)</f>
        <v>12300</v>
      </c>
      <c r="M26" s="200">
        <f>HLOOKUP(M$36,$C$211:$N$226,3,0)</f>
        <v>12300</v>
      </c>
      <c r="N26" s="200">
        <f>HLOOKUP(N$36,$C$190:$N$208,3,0)</f>
        <v>12500</v>
      </c>
      <c r="O26" s="200">
        <f>HLOOKUP(O$36,$C$169:$N$187,3,0)</f>
        <v>13000</v>
      </c>
      <c r="P26" s="200">
        <f>HLOOKUP(P$36,$C$148:$N$166,3,0)</f>
        <v>13200</v>
      </c>
      <c r="Q26" s="200">
        <f>HLOOKUP(Q$36,$C$127:$N$145,3,0)</f>
        <v>13200</v>
      </c>
      <c r="R26" s="200">
        <f>HLOOKUP(R$36,$C$106:$N$124,3,0)</f>
        <v>13200</v>
      </c>
      <c r="S26" s="200">
        <f>HLOOKUP(S$36,$C$85:$N$103,3,0)</f>
        <v>14100</v>
      </c>
      <c r="T26" s="200">
        <f>HLOOKUP(T$36,$C$64:$N$82,3,0)</f>
        <v>15200</v>
      </c>
      <c r="U26" s="200">
        <f>HLOOKUP(U$36,$C$43:$N$61,3,0)</f>
        <v>16300</v>
      </c>
    </row>
    <row r="27" spans="1:21" ht="14">
      <c r="A27" s="171"/>
      <c r="B27" s="300" t="s">
        <v>91</v>
      </c>
      <c r="C27" s="184">
        <v>24800</v>
      </c>
      <c r="D27" s="185">
        <v>25000</v>
      </c>
      <c r="E27" s="185">
        <v>25000</v>
      </c>
      <c r="F27" s="185">
        <v>25000</v>
      </c>
      <c r="G27" s="185">
        <v>25000</v>
      </c>
      <c r="H27" s="185">
        <v>23300</v>
      </c>
      <c r="I27" s="185">
        <v>26700</v>
      </c>
      <c r="J27" s="299">
        <f>HLOOKUP(J$36,$C$265:$I$280,4,0)</f>
        <v>29000</v>
      </c>
      <c r="K27" s="200">
        <f>HLOOKUP(K$36,$C$247:$N$262,4,0)</f>
        <v>29900</v>
      </c>
      <c r="L27" s="200">
        <f>HLOOKUP(L$36,$C$229:$N$244,4,0)</f>
        <v>30900</v>
      </c>
      <c r="M27" s="200">
        <f>HLOOKUP(M$36,$C$211:$N$226,4,0)</f>
        <v>31600</v>
      </c>
      <c r="N27" s="200">
        <f>HLOOKUP(N$36,$C$190:$N$208,4,0)</f>
        <v>31800</v>
      </c>
      <c r="O27" s="200">
        <f>HLOOKUP(O$36,$C$169:$N$187,4,0)</f>
        <v>32700</v>
      </c>
      <c r="P27" s="200">
        <f>HLOOKUP(P$36,$C$148:$N$166,4,0)</f>
        <v>33500</v>
      </c>
      <c r="Q27" s="200">
        <f>HLOOKUP(Q$36,$C$127:$N$145,4,0)</f>
        <v>33500</v>
      </c>
      <c r="R27" s="200">
        <f>HLOOKUP(R$36,$C$106:$N$124,4,0)</f>
        <v>35000</v>
      </c>
      <c r="S27" s="200">
        <f>HLOOKUP(S$36,$C$85:$N$103,4,0)</f>
        <v>36300</v>
      </c>
      <c r="T27" s="200">
        <f>HLOOKUP(T$36,$C$64:$N$82,4,0)</f>
        <v>38200</v>
      </c>
      <c r="U27" s="200">
        <f>HLOOKUP(U$36,$C$43:$N$61,4,0)</f>
        <v>40200</v>
      </c>
    </row>
    <row r="28" spans="1:21" ht="14">
      <c r="A28" s="171"/>
      <c r="B28" s="300" t="s">
        <v>95</v>
      </c>
      <c r="C28" s="184">
        <v>14300</v>
      </c>
      <c r="D28" s="185">
        <v>18600</v>
      </c>
      <c r="E28" s="185">
        <v>18600</v>
      </c>
      <c r="F28" s="185">
        <v>18600</v>
      </c>
      <c r="G28" s="185">
        <v>18600</v>
      </c>
      <c r="H28" s="185">
        <v>17300</v>
      </c>
      <c r="I28" s="185">
        <v>19800</v>
      </c>
      <c r="J28" s="299">
        <f>HLOOKUP(J$36,$C$265:$I$280,5,0)</f>
        <v>21000</v>
      </c>
      <c r="K28" s="200">
        <f>HLOOKUP(K$36,$C$247:$N$262,5,0)</f>
        <v>0</v>
      </c>
      <c r="L28" s="200">
        <f>HLOOKUP(L$36,$C$229:$N$244,5,0)</f>
        <v>0</v>
      </c>
      <c r="M28" s="200">
        <f>HLOOKUP(M$36,$C$211:$N$226,5,0)</f>
        <v>23400</v>
      </c>
      <c r="N28" s="200">
        <f>HLOOKUP(N$36,$C$190:$N$208,5,0)</f>
        <v>23500</v>
      </c>
      <c r="O28" s="200">
        <f>HLOOKUP(O$36,$C$169:$N$187,5,0)</f>
        <v>24100</v>
      </c>
      <c r="P28" s="200">
        <f>HLOOKUP(P$36,$C$148:$N$166,5,0)</f>
        <v>24700</v>
      </c>
      <c r="Q28" s="200">
        <f>HLOOKUP(Q$36,$C$127:$N$145,5,0)</f>
        <v>24700</v>
      </c>
      <c r="R28" s="200">
        <f>HLOOKUP(R$36,$C$106:$N$124,5,0)</f>
        <v>26000</v>
      </c>
      <c r="S28" s="200">
        <f>HLOOKUP(S$36,$C$85:$N$103,5,0)</f>
        <v>0</v>
      </c>
      <c r="T28" s="200"/>
      <c r="U28" s="200"/>
    </row>
    <row r="29" spans="1:21" ht="14">
      <c r="A29" s="171" t="s">
        <v>120</v>
      </c>
      <c r="B29" s="300" t="s">
        <v>92</v>
      </c>
      <c r="C29" s="184">
        <v>17400</v>
      </c>
      <c r="D29" s="185">
        <v>18500</v>
      </c>
      <c r="E29" s="185">
        <v>18500</v>
      </c>
      <c r="F29" s="185">
        <v>18500</v>
      </c>
      <c r="G29" s="185">
        <v>18500</v>
      </c>
      <c r="H29" s="185">
        <v>17300</v>
      </c>
      <c r="I29" s="185">
        <v>19200</v>
      </c>
      <c r="J29" s="299">
        <f>HLOOKUP(J$36,$C$265:$I$280,6,0)</f>
        <v>20400</v>
      </c>
      <c r="K29" s="200">
        <f>HLOOKUP(K$36,$C$247:$N$262,6,0)</f>
        <v>21100</v>
      </c>
      <c r="L29" s="200">
        <f>HLOOKUP(L$36,$C$229:$N$244,6,0)</f>
        <v>21900</v>
      </c>
      <c r="M29" s="200">
        <f>HLOOKUP(M$36,$C$211:$N$226,6,0)</f>
        <v>22400</v>
      </c>
      <c r="N29" s="200">
        <f>HLOOKUP(N$36,$C$190:$N$208,6,0)</f>
        <v>22500</v>
      </c>
      <c r="O29" s="200">
        <f>HLOOKUP(O$36,$C$169:$N$187,6,0)</f>
        <v>23100</v>
      </c>
      <c r="P29" s="200">
        <f>HLOOKUP(P$36,$C$148:$N$166,6,0)</f>
        <v>23700</v>
      </c>
      <c r="Q29" s="200">
        <f>HLOOKUP(Q$36,$C$127:$N$145,6,0)</f>
        <v>23700</v>
      </c>
      <c r="R29" s="200">
        <f>HLOOKUP(R$36,$C$106:$N$124,6,0)</f>
        <v>24800</v>
      </c>
      <c r="S29" s="200">
        <f>HLOOKUP(S$36,$C$85:$N$103,6,0)</f>
        <v>27000</v>
      </c>
      <c r="T29" s="200">
        <f>HLOOKUP(T$36,$C$64:$N$82,6,0)</f>
        <v>29700</v>
      </c>
      <c r="U29" s="200">
        <f>HLOOKUP(U$36,$C$43:$N$61,6,0)</f>
        <v>31300</v>
      </c>
    </row>
    <row r="30" spans="1:21" ht="14">
      <c r="A30" s="171"/>
      <c r="B30" s="300" t="s">
        <v>94</v>
      </c>
      <c r="C30" s="184">
        <v>27700</v>
      </c>
      <c r="D30" s="185">
        <v>27700</v>
      </c>
      <c r="E30" s="185">
        <v>27700</v>
      </c>
      <c r="F30" s="185">
        <v>27700</v>
      </c>
      <c r="G30" s="185">
        <v>27700</v>
      </c>
      <c r="H30" s="185">
        <v>27700</v>
      </c>
      <c r="I30" s="185">
        <v>27700</v>
      </c>
      <c r="J30" s="201">
        <f>HLOOKUP(J$36,$C$265:$I$280,7,0)</f>
        <v>0</v>
      </c>
      <c r="K30" s="200">
        <f>HLOOKUP(K$36,$C$247:$N$262,7,0)</f>
        <v>0</v>
      </c>
      <c r="L30" s="200">
        <f>HLOOKUP(L$36,$C$229:$N$244,7,0)</f>
        <v>0</v>
      </c>
      <c r="M30" s="200">
        <f>HLOOKUP(M$36,$C$211:$N$226,7,0)</f>
        <v>0</v>
      </c>
      <c r="N30" s="200">
        <f>HLOOKUP(N$36,$C$190:$N$208,7,0)</f>
        <v>0</v>
      </c>
      <c r="O30" s="200">
        <f>HLOOKUP(O$36,$C$169:$N$187,7,0)</f>
        <v>0</v>
      </c>
      <c r="P30" s="200">
        <f>HLOOKUP(P$36,$C$148:$N$166,7,0)</f>
        <v>0</v>
      </c>
      <c r="Q30" s="200">
        <f>HLOOKUP(Q$36,$C$127:$N$145,7,0)</f>
        <v>0</v>
      </c>
      <c r="R30" s="200">
        <f>HLOOKUP(R$36,$C$106:$N$124,7,0)</f>
        <v>0</v>
      </c>
      <c r="S30" s="200">
        <f>HLOOKUP(S$36,$C$85:$N$103,7,0)</f>
        <v>0</v>
      </c>
      <c r="T30" s="200"/>
      <c r="U30" s="200"/>
    </row>
    <row r="31" spans="1:21" ht="14">
      <c r="A31" s="171"/>
      <c r="B31" s="300" t="s">
        <v>93</v>
      </c>
      <c r="C31" s="184">
        <v>29800</v>
      </c>
      <c r="D31" s="185">
        <v>29800</v>
      </c>
      <c r="E31" s="185">
        <v>29800</v>
      </c>
      <c r="F31" s="185">
        <v>29800</v>
      </c>
      <c r="G31" s="185">
        <v>29800</v>
      </c>
      <c r="H31" s="185">
        <v>29800</v>
      </c>
      <c r="I31" s="185">
        <v>29800</v>
      </c>
      <c r="J31" s="201">
        <f>HLOOKUP(J$36,$C$265:$I$280,8,0)</f>
        <v>0</v>
      </c>
      <c r="K31" s="200">
        <f>HLOOKUP(K$36,$C$247:$N$262,8,0)</f>
        <v>0</v>
      </c>
      <c r="L31" s="200">
        <f>HLOOKUP(L$36,$C$229:$N$244,8,0)</f>
        <v>0</v>
      </c>
      <c r="M31" s="200">
        <f>HLOOKUP(M$36,$C$211:$N$226,8,0)</f>
        <v>0</v>
      </c>
      <c r="N31" s="200">
        <f>HLOOKUP(N$36,$C$190:$N$208,8,0)</f>
        <v>0</v>
      </c>
      <c r="O31" s="200">
        <f>HLOOKUP(O$36,$C$169:$N$187,8,0)</f>
        <v>0</v>
      </c>
      <c r="P31" s="200">
        <f>HLOOKUP(P$36,$C$148:$N$166,8,0)</f>
        <v>0</v>
      </c>
      <c r="Q31" s="200">
        <f>HLOOKUP(Q$36,$C$127:$N$145,8,0)</f>
        <v>0</v>
      </c>
      <c r="R31" s="200">
        <f>HLOOKUP(R$36,$C$106:$N$124,8,0)</f>
        <v>0</v>
      </c>
      <c r="S31" s="200">
        <f>HLOOKUP(S$36,$C$85:$N$103,8,0)</f>
        <v>0</v>
      </c>
      <c r="T31" s="200"/>
      <c r="U31" s="200"/>
    </row>
    <row r="32" spans="1:21" ht="14">
      <c r="A32" s="171" t="s">
        <v>121</v>
      </c>
      <c r="B32" s="300" t="s">
        <v>96</v>
      </c>
      <c r="C32" s="186"/>
      <c r="D32" s="185">
        <v>8000</v>
      </c>
      <c r="E32" s="185">
        <v>8000</v>
      </c>
      <c r="F32" s="185">
        <v>8000</v>
      </c>
      <c r="G32" s="185">
        <v>8000</v>
      </c>
      <c r="H32" s="185">
        <v>8400</v>
      </c>
      <c r="I32" s="185">
        <v>9500</v>
      </c>
      <c r="J32" s="299">
        <f>HLOOKUP(J$36,$C$265:$I$280,9,0)</f>
        <v>10500</v>
      </c>
      <c r="K32" s="200">
        <f>HLOOKUP(K$36,$C$247:$N$262,9,0)</f>
        <v>10900</v>
      </c>
      <c r="L32" s="200">
        <f>HLOOKUP(L$36,$C$229:$N$244,9,0)</f>
        <v>11400</v>
      </c>
      <c r="M32" s="200">
        <f>HLOOKUP(M$36,$C$211:$N$226,9,0)</f>
        <v>11700</v>
      </c>
      <c r="N32" s="200">
        <f>HLOOKUP(N$36,$C$190:$N$208,9,0)</f>
        <v>12200</v>
      </c>
      <c r="O32" s="200">
        <f>HLOOKUP(O$36,$C$169:$N$187,9,0)</f>
        <v>12800</v>
      </c>
      <c r="P32" s="200">
        <f>HLOOKUP(P$36,$C$148:$N$166,9,0)</f>
        <v>13200</v>
      </c>
      <c r="Q32" s="200">
        <f>HLOOKUP(Q$36,$C$127:$N$145,9,0)</f>
        <v>13700</v>
      </c>
      <c r="R32" s="200">
        <f>HLOOKUP(R$36,$C$106:$N$124,9,0)</f>
        <v>13700</v>
      </c>
      <c r="S32" s="200">
        <f>HLOOKUP(S$36,$C$85:$N$103,9,0)</f>
        <v>15000</v>
      </c>
      <c r="T32" s="200">
        <f>HLOOKUP(T$36,$C$64:$N$82,9,0)</f>
        <v>16200</v>
      </c>
      <c r="U32" s="200">
        <f>HLOOKUP(U$36,$C$43:$N$61,9,0)</f>
        <v>17400</v>
      </c>
    </row>
    <row r="33" spans="1:21" ht="14">
      <c r="A33" s="171"/>
      <c r="B33" s="300" t="s">
        <v>97</v>
      </c>
      <c r="C33" s="186"/>
      <c r="D33" s="185">
        <v>7500</v>
      </c>
      <c r="E33" s="185">
        <v>7500</v>
      </c>
      <c r="F33" s="185">
        <v>7500</v>
      </c>
      <c r="G33" s="185">
        <v>7500</v>
      </c>
      <c r="H33" s="185">
        <v>7500</v>
      </c>
      <c r="I33" s="185">
        <v>8500</v>
      </c>
      <c r="J33" s="299">
        <f>HLOOKUP(J$36,$C$265:$I$280,10,0)</f>
        <v>9100</v>
      </c>
      <c r="K33" s="200">
        <f>HLOOKUP(K$36,$C$247:$N$262,10,0)</f>
        <v>9200</v>
      </c>
      <c r="L33" s="200">
        <f>HLOOKUP(L$36,$C$229:$N$244,10,0)</f>
        <v>10000</v>
      </c>
      <c r="M33" s="200">
        <f>HLOOKUP(M$36,$C$211:$N$226,10,0)</f>
        <v>10200</v>
      </c>
      <c r="N33" s="200">
        <f>HLOOKUP(N$36,$C$190:$N$208,10,0)</f>
        <v>10600</v>
      </c>
      <c r="O33" s="200">
        <f>HLOOKUP(O$36,$C$169:$N$187,10,0)</f>
        <v>11100</v>
      </c>
      <c r="P33" s="200">
        <f>HLOOKUP(P$36,$C$148:$N$166,10,0)</f>
        <v>11500</v>
      </c>
      <c r="Q33" s="200">
        <f>HLOOKUP(Q$36,$C$127:$N$145,10,0)</f>
        <v>11700</v>
      </c>
      <c r="R33" s="200">
        <f>HLOOKUP(R$36,$C$106:$N$124,10,0)</f>
        <v>12100</v>
      </c>
      <c r="S33" s="200">
        <f>HLOOKUP(S$36,$C$85:$N$103,10,0)</f>
        <v>12700</v>
      </c>
      <c r="T33" s="200">
        <f>HLOOKUP(T$36,$C$64:$N$82,10,0)</f>
        <v>14000</v>
      </c>
      <c r="U33" s="200">
        <f>HLOOKUP(U$36,$C$43:$N$61,10,0)</f>
        <v>15000</v>
      </c>
    </row>
    <row r="34" spans="1:21" ht="14">
      <c r="A34" s="171"/>
      <c r="B34" s="300" t="s">
        <v>98</v>
      </c>
      <c r="C34" s="186"/>
      <c r="D34" s="185">
        <v>21100</v>
      </c>
      <c r="E34" s="185">
        <v>21100</v>
      </c>
      <c r="F34" s="185">
        <v>21100</v>
      </c>
      <c r="G34" s="185">
        <v>21100</v>
      </c>
      <c r="H34" s="185">
        <v>19900</v>
      </c>
      <c r="I34" s="185">
        <v>22700</v>
      </c>
      <c r="J34" s="299">
        <f>HLOOKUP(J$36,$C$265:$I$280,11,0)</f>
        <v>23500</v>
      </c>
      <c r="K34" s="200">
        <f>HLOOKUP(K$36,$C$247:$N$262,11,0)</f>
        <v>23400</v>
      </c>
      <c r="L34" s="200">
        <f>HLOOKUP(L$36,$C$229:$N$244,11,0)</f>
        <v>24100</v>
      </c>
      <c r="M34" s="200">
        <f>HLOOKUP(M$36,$C$211:$N$226,11,0)</f>
        <v>25100</v>
      </c>
      <c r="N34" s="200">
        <f>HLOOKUP(N$36,$C$190:$N$208,11,0)</f>
        <v>25500</v>
      </c>
      <c r="O34" s="200">
        <f>HLOOKUP(O$36,$C$169:$N$187,11,0)</f>
        <v>25800</v>
      </c>
      <c r="P34" s="200">
        <f>HLOOKUP(P$36,$C$148:$N$166,11,0)</f>
        <v>26700</v>
      </c>
      <c r="Q34" s="200">
        <f>HLOOKUP(Q$36,$C$127:$N$145,11,0)</f>
        <v>27900</v>
      </c>
      <c r="R34" s="200">
        <f>HLOOKUP(R$36,$C$106:$N$124,11,0)</f>
        <v>27900</v>
      </c>
      <c r="S34" s="200">
        <f>HLOOKUP(S$36,$C$85:$N$103,11,0)</f>
        <v>29200</v>
      </c>
      <c r="T34" s="200">
        <f>HLOOKUP(T$36,$C$64:$N$82,11,0)</f>
        <v>31100</v>
      </c>
      <c r="U34" s="200">
        <f>HLOOKUP(U$36,$C$43:$N$61,11,0)</f>
        <v>33400</v>
      </c>
    </row>
    <row r="35" spans="1:21" ht="14.5" thickBot="1">
      <c r="A35" s="181"/>
      <c r="B35" s="301" t="s">
        <v>99</v>
      </c>
      <c r="C35" s="202"/>
      <c r="D35" s="203">
        <v>17100</v>
      </c>
      <c r="E35" s="203">
        <v>17100</v>
      </c>
      <c r="F35" s="203">
        <v>17100</v>
      </c>
      <c r="G35" s="203">
        <v>17100</v>
      </c>
      <c r="H35" s="203">
        <v>16100</v>
      </c>
      <c r="I35" s="203">
        <v>17700</v>
      </c>
      <c r="J35" s="302">
        <f>HLOOKUP(J$36,$C$265:$I$280,12,0)</f>
        <v>19100</v>
      </c>
      <c r="K35" s="204">
        <f>HLOOKUP(K$36,$C$247:$N$262,12,0)</f>
        <v>19100</v>
      </c>
      <c r="L35" s="204">
        <f>HLOOKUP(L$36,$C$229:$N$244,12,0)</f>
        <v>18800</v>
      </c>
      <c r="M35" s="204">
        <f>HLOOKUP(M$36,$C$211:$N$226,12,0)</f>
        <v>19100</v>
      </c>
      <c r="N35" s="204">
        <f>HLOOKUP(N$36,$C$190:$N$208,12,0)</f>
        <v>19400</v>
      </c>
      <c r="O35" s="204">
        <f>HLOOKUP(O$36,$C$169:$N$187,12,0)</f>
        <v>19600</v>
      </c>
      <c r="P35" s="204">
        <f>HLOOKUP(P$36,$C$148:$N$166,12,0)</f>
        <v>21300</v>
      </c>
      <c r="Q35" s="204">
        <f>HLOOKUP(Q$36,$C$127:$N$145,12,0)</f>
        <v>21300</v>
      </c>
      <c r="R35" s="204">
        <f>HLOOKUP(R$36,$C$106:$N$124,12,0)</f>
        <v>21700</v>
      </c>
      <c r="S35" s="204">
        <f>HLOOKUP(S$36,$C$85:$N$103,12,0)</f>
        <v>22700</v>
      </c>
      <c r="T35" s="204">
        <f>HLOOKUP(T$36,$C$64:$N$82,12,0)</f>
        <v>24800</v>
      </c>
      <c r="U35" s="204">
        <f>HLOOKUP(U$36,$C$43:$N$61,12,0)</f>
        <v>26500</v>
      </c>
    </row>
    <row r="36" spans="1:21" ht="12.5" thickBot="1">
      <c r="J36" s="205" t="s">
        <v>107</v>
      </c>
      <c r="K36" s="205" t="s">
        <v>107</v>
      </c>
      <c r="L36" s="205" t="s">
        <v>107</v>
      </c>
      <c r="M36" s="205" t="s">
        <v>107</v>
      </c>
      <c r="N36" s="205" t="s">
        <v>107</v>
      </c>
      <c r="O36" s="205" t="s">
        <v>107</v>
      </c>
      <c r="P36" s="205" t="s">
        <v>107</v>
      </c>
      <c r="Q36" s="205" t="s">
        <v>107</v>
      </c>
      <c r="R36" s="205" t="s">
        <v>107</v>
      </c>
      <c r="S36" s="205" t="s">
        <v>107</v>
      </c>
      <c r="T36" s="205" t="s">
        <v>107</v>
      </c>
      <c r="U36" s="205" t="s">
        <v>107</v>
      </c>
    </row>
    <row r="37" spans="1:21">
      <c r="B37" s="187" t="s">
        <v>101</v>
      </c>
      <c r="J37" t="s">
        <v>178</v>
      </c>
    </row>
    <row r="38" spans="1:21">
      <c r="J38" s="206" t="s">
        <v>122</v>
      </c>
    </row>
    <row r="42" spans="1:21" ht="14.5" customHeight="1">
      <c r="A42" s="188" t="s">
        <v>190</v>
      </c>
      <c r="B42" s="189"/>
      <c r="C42" s="189"/>
      <c r="D42" s="189"/>
      <c r="E42" s="189"/>
      <c r="F42" s="189"/>
      <c r="G42" s="189"/>
      <c r="H42" s="189"/>
      <c r="I42" s="189"/>
      <c r="J42" s="189"/>
      <c r="K42" s="189"/>
      <c r="L42" s="189"/>
      <c r="M42" s="189"/>
      <c r="N42" s="189"/>
      <c r="O42" s="189"/>
    </row>
    <row r="43" spans="1:21" ht="14.5" customHeight="1">
      <c r="A43" s="189"/>
      <c r="B43" s="189"/>
      <c r="C43" s="207" t="s">
        <v>103</v>
      </c>
      <c r="D43" s="207" t="s">
        <v>104</v>
      </c>
      <c r="E43" s="207" t="s">
        <v>105</v>
      </c>
      <c r="F43" s="207" t="s">
        <v>107</v>
      </c>
      <c r="G43" s="207" t="s">
        <v>108</v>
      </c>
      <c r="H43" s="207" t="s">
        <v>109</v>
      </c>
      <c r="I43" s="266" t="s">
        <v>110</v>
      </c>
      <c r="J43" s="251" t="s">
        <v>147</v>
      </c>
      <c r="K43" s="252" t="s">
        <v>148</v>
      </c>
      <c r="L43" s="252" t="s">
        <v>149</v>
      </c>
      <c r="M43" s="252" t="s">
        <v>150</v>
      </c>
      <c r="N43" s="189"/>
      <c r="O43" s="189"/>
    </row>
    <row r="44" spans="1:21" ht="14.5" customHeight="1">
      <c r="A44" s="189"/>
      <c r="B44" s="191" t="s">
        <v>102</v>
      </c>
      <c r="C44" s="194">
        <v>21300</v>
      </c>
      <c r="D44" s="194">
        <v>22700</v>
      </c>
      <c r="E44" s="194">
        <v>23800</v>
      </c>
      <c r="F44" s="194">
        <v>23300</v>
      </c>
      <c r="G44" s="194">
        <v>23500</v>
      </c>
      <c r="H44" s="194">
        <v>23400</v>
      </c>
      <c r="I44" s="267">
        <v>23600</v>
      </c>
      <c r="J44" s="253">
        <v>23400</v>
      </c>
      <c r="K44" s="194">
        <v>24000</v>
      </c>
      <c r="L44" s="194">
        <v>21000</v>
      </c>
      <c r="M44" s="194">
        <v>21200</v>
      </c>
      <c r="N44" s="189"/>
      <c r="O44" s="189"/>
    </row>
    <row r="45" spans="1:21" ht="13">
      <c r="B45" s="191" t="s">
        <v>106</v>
      </c>
      <c r="C45" s="194">
        <v>16600</v>
      </c>
      <c r="D45" s="194">
        <v>17400</v>
      </c>
      <c r="E45" s="194">
        <v>16400</v>
      </c>
      <c r="F45" s="194">
        <v>16300</v>
      </c>
      <c r="G45" s="194">
        <v>16300</v>
      </c>
      <c r="H45" s="194">
        <v>17300</v>
      </c>
      <c r="I45" s="267">
        <v>16700</v>
      </c>
      <c r="J45" s="254">
        <v>16800</v>
      </c>
      <c r="K45" s="255">
        <v>16800</v>
      </c>
      <c r="L45" s="255">
        <v>16300</v>
      </c>
      <c r="M45" s="255">
        <v>17100</v>
      </c>
    </row>
    <row r="46" spans="1:21" ht="13">
      <c r="B46" s="191" t="s">
        <v>111</v>
      </c>
      <c r="C46" s="194">
        <v>39400</v>
      </c>
      <c r="D46" s="194">
        <v>39600</v>
      </c>
      <c r="E46" s="194">
        <v>39200</v>
      </c>
      <c r="F46" s="194">
        <v>40200</v>
      </c>
      <c r="G46" s="194">
        <v>41200</v>
      </c>
      <c r="H46" s="194">
        <v>39300</v>
      </c>
      <c r="I46" s="267">
        <v>39300</v>
      </c>
      <c r="J46" s="254">
        <v>50800</v>
      </c>
      <c r="K46" s="255">
        <v>51500</v>
      </c>
      <c r="L46" s="255">
        <v>51200</v>
      </c>
      <c r="M46" s="255">
        <v>50600</v>
      </c>
    </row>
    <row r="47" spans="1:21" ht="13">
      <c r="B47" s="191" t="s">
        <v>112</v>
      </c>
      <c r="C47" s="194">
        <v>30000</v>
      </c>
      <c r="D47" s="194">
        <v>31200</v>
      </c>
      <c r="E47" s="194">
        <v>31200</v>
      </c>
      <c r="F47" s="194">
        <v>31000</v>
      </c>
      <c r="G47" s="194">
        <v>31800</v>
      </c>
      <c r="H47" s="194">
        <v>31200</v>
      </c>
      <c r="I47" s="267">
        <v>31200</v>
      </c>
      <c r="J47" s="254"/>
      <c r="K47" s="255"/>
      <c r="L47" s="255"/>
      <c r="M47" s="255"/>
    </row>
    <row r="48" spans="1:21" ht="13">
      <c r="B48" s="191" t="s">
        <v>113</v>
      </c>
      <c r="C48" s="194">
        <v>31200</v>
      </c>
      <c r="D48" s="194">
        <v>30900</v>
      </c>
      <c r="E48" s="194">
        <v>30700</v>
      </c>
      <c r="F48" s="194">
        <v>31300</v>
      </c>
      <c r="G48" s="194">
        <v>31800</v>
      </c>
      <c r="H48" s="194">
        <v>31100</v>
      </c>
      <c r="I48" s="267">
        <v>30500</v>
      </c>
      <c r="J48" s="254">
        <v>26700</v>
      </c>
      <c r="K48" s="255">
        <v>27200</v>
      </c>
      <c r="L48" s="255">
        <v>26700</v>
      </c>
      <c r="M48" s="255">
        <v>26600</v>
      </c>
    </row>
    <row r="49" spans="1:15" ht="13">
      <c r="B49" s="191" t="s">
        <v>94</v>
      </c>
      <c r="C49" s="194"/>
      <c r="D49" s="194"/>
      <c r="E49" s="194"/>
      <c r="F49" s="194"/>
      <c r="G49" s="194"/>
      <c r="H49" s="194"/>
      <c r="I49" s="256"/>
      <c r="J49" s="254"/>
      <c r="K49" s="255"/>
      <c r="L49" s="255"/>
      <c r="M49" s="255"/>
    </row>
    <row r="50" spans="1:15" ht="13">
      <c r="B50" s="191"/>
      <c r="C50" s="194"/>
      <c r="D50" s="194"/>
      <c r="E50" s="194"/>
      <c r="F50" s="194"/>
      <c r="G50" s="194"/>
      <c r="H50" s="194"/>
      <c r="I50" s="267"/>
      <c r="J50" s="254"/>
      <c r="K50" s="255"/>
      <c r="L50" s="255"/>
      <c r="M50" s="255"/>
    </row>
    <row r="51" spans="1:15" ht="13">
      <c r="B51" s="193" t="s">
        <v>124</v>
      </c>
      <c r="C51" s="194">
        <v>18200</v>
      </c>
      <c r="D51" s="194">
        <v>17500</v>
      </c>
      <c r="E51" s="194">
        <v>17600</v>
      </c>
      <c r="F51" s="194">
        <v>17400</v>
      </c>
      <c r="G51" s="194">
        <v>17800</v>
      </c>
      <c r="H51" s="194">
        <v>17900</v>
      </c>
      <c r="I51" s="267">
        <v>17300</v>
      </c>
      <c r="J51" s="254">
        <v>16700</v>
      </c>
      <c r="K51" s="255">
        <v>16800</v>
      </c>
      <c r="L51" s="255">
        <v>16000</v>
      </c>
      <c r="M51" s="255">
        <v>15100</v>
      </c>
    </row>
    <row r="52" spans="1:15" ht="13">
      <c r="B52" s="193" t="s">
        <v>125</v>
      </c>
      <c r="C52" s="194">
        <v>15800</v>
      </c>
      <c r="D52" s="194">
        <v>14700</v>
      </c>
      <c r="E52" s="194">
        <v>14200</v>
      </c>
      <c r="F52" s="194">
        <v>15000</v>
      </c>
      <c r="G52" s="194">
        <v>14700</v>
      </c>
      <c r="H52" s="194">
        <v>14900</v>
      </c>
      <c r="I52" s="267">
        <v>14700</v>
      </c>
      <c r="J52" s="254">
        <v>15000</v>
      </c>
      <c r="K52" s="255">
        <v>15100</v>
      </c>
      <c r="L52" s="255">
        <v>13600</v>
      </c>
      <c r="M52" s="255">
        <v>12800</v>
      </c>
    </row>
    <row r="53" spans="1:15" ht="13">
      <c r="B53" s="191" t="s">
        <v>114</v>
      </c>
      <c r="C53" s="194">
        <v>33200</v>
      </c>
      <c r="D53" s="194">
        <v>31100</v>
      </c>
      <c r="E53" s="194">
        <v>31100</v>
      </c>
      <c r="F53" s="194">
        <v>33400</v>
      </c>
      <c r="G53" s="194">
        <v>31900</v>
      </c>
      <c r="H53" s="194">
        <v>32600</v>
      </c>
      <c r="I53" s="267">
        <v>31100</v>
      </c>
      <c r="J53" s="254">
        <v>40500</v>
      </c>
      <c r="K53" s="255">
        <v>40600</v>
      </c>
      <c r="L53" s="255">
        <v>40200</v>
      </c>
      <c r="M53" s="255">
        <v>39800</v>
      </c>
    </row>
    <row r="54" spans="1:15" ht="13">
      <c r="B54" s="192" t="s">
        <v>115</v>
      </c>
      <c r="C54" s="194">
        <v>26200</v>
      </c>
      <c r="D54" s="194">
        <v>26500</v>
      </c>
      <c r="E54" s="194">
        <v>26500</v>
      </c>
      <c r="F54" s="194">
        <v>26500</v>
      </c>
      <c r="G54" s="194">
        <v>26200</v>
      </c>
      <c r="H54" s="194">
        <v>26500</v>
      </c>
      <c r="I54" s="267">
        <v>26500</v>
      </c>
      <c r="J54" s="254">
        <v>30900</v>
      </c>
      <c r="K54" s="255">
        <v>32200</v>
      </c>
      <c r="L54" s="255">
        <v>30800</v>
      </c>
      <c r="M54" s="255">
        <v>30000</v>
      </c>
    </row>
    <row r="55" spans="1:15" ht="13">
      <c r="B55" s="192"/>
      <c r="C55" s="194"/>
      <c r="D55" s="194"/>
      <c r="E55" s="194"/>
      <c r="F55" s="194"/>
      <c r="G55" s="194"/>
      <c r="H55" s="194"/>
      <c r="I55" s="267"/>
      <c r="J55" s="254"/>
      <c r="K55" s="255"/>
      <c r="L55" s="255"/>
      <c r="M55" s="255"/>
    </row>
    <row r="56" spans="1:15" ht="13">
      <c r="B56" s="192" t="s">
        <v>126</v>
      </c>
      <c r="C56" s="194">
        <v>25800</v>
      </c>
      <c r="D56" s="194">
        <v>26800</v>
      </c>
      <c r="E56" s="194">
        <v>25400</v>
      </c>
      <c r="F56" s="194">
        <v>27300</v>
      </c>
      <c r="G56" s="194">
        <v>25700</v>
      </c>
      <c r="H56" s="194">
        <v>26500</v>
      </c>
      <c r="I56" s="267">
        <v>24900</v>
      </c>
      <c r="J56" s="254">
        <v>23200</v>
      </c>
      <c r="K56" s="255">
        <v>24800</v>
      </c>
      <c r="L56" s="255">
        <v>25200</v>
      </c>
      <c r="M56" s="255">
        <v>25500</v>
      </c>
    </row>
    <row r="57" spans="1:15" ht="13">
      <c r="B57" s="192" t="s">
        <v>127</v>
      </c>
      <c r="C57" s="194">
        <v>25500</v>
      </c>
      <c r="D57" s="194">
        <v>24400</v>
      </c>
      <c r="E57" s="194">
        <v>23500</v>
      </c>
      <c r="F57" s="194">
        <v>23700</v>
      </c>
      <c r="G57" s="194">
        <v>23500</v>
      </c>
      <c r="H57" s="194">
        <v>24000</v>
      </c>
      <c r="I57" s="267">
        <v>23300</v>
      </c>
      <c r="J57" s="254">
        <v>22100</v>
      </c>
      <c r="K57" s="255">
        <v>23100</v>
      </c>
      <c r="L57" s="255">
        <v>22700</v>
      </c>
      <c r="M57" s="255">
        <v>23000</v>
      </c>
    </row>
    <row r="58" spans="1:15" ht="13">
      <c r="B58" s="192"/>
      <c r="C58" s="194"/>
      <c r="D58" s="194"/>
      <c r="E58" s="194"/>
      <c r="F58" s="194"/>
      <c r="G58" s="194"/>
      <c r="H58" s="194"/>
      <c r="I58" s="267"/>
      <c r="J58" s="254"/>
      <c r="K58" s="255"/>
      <c r="L58" s="255"/>
      <c r="M58" s="255"/>
    </row>
    <row r="59" spans="1:15" ht="13">
      <c r="B59" s="192" t="s">
        <v>158</v>
      </c>
      <c r="C59" s="194">
        <v>24600</v>
      </c>
      <c r="D59" s="194">
        <v>26100</v>
      </c>
      <c r="E59" s="194">
        <v>25500</v>
      </c>
      <c r="F59" s="194">
        <v>26600</v>
      </c>
      <c r="G59" s="194">
        <v>25100</v>
      </c>
      <c r="H59" s="194">
        <v>26200</v>
      </c>
      <c r="I59" s="267">
        <v>26300</v>
      </c>
      <c r="J59" s="254">
        <v>25200</v>
      </c>
      <c r="K59" s="255">
        <v>25700</v>
      </c>
      <c r="L59" s="255">
        <v>24400</v>
      </c>
      <c r="M59" s="255">
        <v>24200</v>
      </c>
    </row>
    <row r="60" spans="1:15" ht="13">
      <c r="B60" s="192"/>
      <c r="C60" s="194"/>
      <c r="D60" s="194"/>
      <c r="E60" s="194"/>
      <c r="F60" s="194"/>
      <c r="G60" s="194"/>
      <c r="H60" s="194"/>
      <c r="I60" s="267"/>
      <c r="J60" s="254"/>
      <c r="K60" s="255"/>
      <c r="L60" s="255"/>
      <c r="M60" s="255"/>
    </row>
    <row r="61" spans="1:15" ht="13">
      <c r="B61" s="192"/>
      <c r="C61" s="194"/>
      <c r="D61" s="194"/>
      <c r="E61" s="194"/>
      <c r="F61" s="194"/>
      <c r="G61" s="194"/>
      <c r="H61" s="194"/>
      <c r="I61" s="267"/>
      <c r="J61" s="254"/>
      <c r="K61" s="255"/>
      <c r="L61" s="255"/>
      <c r="M61" s="255"/>
    </row>
    <row r="63" spans="1:15" ht="14.5" customHeight="1">
      <c r="A63" s="188" t="s">
        <v>188</v>
      </c>
      <c r="B63" s="189"/>
      <c r="C63" s="189"/>
      <c r="D63" s="189"/>
      <c r="E63" s="189"/>
      <c r="F63" s="189"/>
      <c r="G63" s="189"/>
      <c r="H63" s="189"/>
      <c r="I63" s="189"/>
      <c r="J63" s="189"/>
      <c r="K63" s="189"/>
      <c r="L63" s="189"/>
      <c r="M63" s="189"/>
      <c r="N63" s="189"/>
      <c r="O63" s="189"/>
    </row>
    <row r="64" spans="1:15" ht="14.5" customHeight="1">
      <c r="A64" s="189"/>
      <c r="B64" s="189"/>
      <c r="C64" s="207" t="s">
        <v>103</v>
      </c>
      <c r="D64" s="207" t="s">
        <v>104</v>
      </c>
      <c r="E64" s="207" t="s">
        <v>105</v>
      </c>
      <c r="F64" s="207" t="s">
        <v>107</v>
      </c>
      <c r="G64" s="207" t="s">
        <v>108</v>
      </c>
      <c r="H64" s="207" t="s">
        <v>109</v>
      </c>
      <c r="I64" s="266" t="s">
        <v>110</v>
      </c>
      <c r="J64" s="251" t="s">
        <v>147</v>
      </c>
      <c r="K64" s="252" t="s">
        <v>148</v>
      </c>
      <c r="L64" s="252" t="s">
        <v>149</v>
      </c>
      <c r="M64" s="252" t="s">
        <v>150</v>
      </c>
      <c r="N64" s="189"/>
      <c r="O64" s="189"/>
    </row>
    <row r="65" spans="1:15" ht="14.5" customHeight="1">
      <c r="A65" s="189"/>
      <c r="B65" s="191" t="s">
        <v>102</v>
      </c>
      <c r="C65" s="194">
        <v>20000</v>
      </c>
      <c r="D65" s="194">
        <v>21300</v>
      </c>
      <c r="E65" s="194">
        <v>22300</v>
      </c>
      <c r="F65" s="194">
        <v>21800</v>
      </c>
      <c r="G65" s="194">
        <v>22000</v>
      </c>
      <c r="H65" s="194">
        <v>21900</v>
      </c>
      <c r="I65" s="267">
        <v>22200</v>
      </c>
      <c r="J65" s="253">
        <v>21900</v>
      </c>
      <c r="K65" s="194">
        <v>22600</v>
      </c>
      <c r="L65" s="194">
        <v>19700</v>
      </c>
      <c r="M65" s="194">
        <v>20100</v>
      </c>
      <c r="N65" s="189"/>
      <c r="O65" s="189"/>
    </row>
    <row r="66" spans="1:15" ht="13">
      <c r="B66" s="191" t="s">
        <v>106</v>
      </c>
      <c r="C66" s="194">
        <v>15600</v>
      </c>
      <c r="D66" s="194">
        <v>16300</v>
      </c>
      <c r="E66" s="194">
        <v>15300</v>
      </c>
      <c r="F66" s="194">
        <v>15200</v>
      </c>
      <c r="G66" s="194">
        <v>15300</v>
      </c>
      <c r="H66" s="194">
        <v>16200</v>
      </c>
      <c r="I66" s="267">
        <v>15700</v>
      </c>
      <c r="J66" s="254">
        <v>15800</v>
      </c>
      <c r="K66" s="255">
        <v>15800</v>
      </c>
      <c r="L66" s="255">
        <v>15300</v>
      </c>
      <c r="M66" s="255">
        <v>16300</v>
      </c>
    </row>
    <row r="67" spans="1:15" ht="13">
      <c r="B67" s="191" t="s">
        <v>111</v>
      </c>
      <c r="C67" s="194">
        <v>37500</v>
      </c>
      <c r="D67" s="194">
        <v>37700</v>
      </c>
      <c r="E67" s="194">
        <v>37200</v>
      </c>
      <c r="F67" s="194">
        <v>38200</v>
      </c>
      <c r="G67" s="194">
        <v>39200</v>
      </c>
      <c r="H67" s="194">
        <v>37400</v>
      </c>
      <c r="I67" s="267">
        <v>37400</v>
      </c>
      <c r="J67" s="254">
        <v>47700</v>
      </c>
      <c r="K67" s="255">
        <v>48500</v>
      </c>
      <c r="L67" s="255">
        <v>48300</v>
      </c>
      <c r="M67" s="255">
        <v>48100</v>
      </c>
    </row>
    <row r="68" spans="1:15" ht="13">
      <c r="B68" s="191" t="s">
        <v>112</v>
      </c>
      <c r="C68" s="194">
        <v>27200</v>
      </c>
      <c r="D68" s="194">
        <v>28300</v>
      </c>
      <c r="E68" s="194">
        <v>28300</v>
      </c>
      <c r="F68" s="194"/>
      <c r="G68" s="194"/>
      <c r="H68" s="194">
        <v>28300</v>
      </c>
      <c r="I68" s="267">
        <v>28300</v>
      </c>
      <c r="J68" s="254"/>
      <c r="K68" s="255"/>
      <c r="L68" s="255"/>
      <c r="M68" s="255"/>
    </row>
    <row r="69" spans="1:15" ht="13">
      <c r="B69" s="191" t="s">
        <v>113</v>
      </c>
      <c r="C69" s="194">
        <v>29700</v>
      </c>
      <c r="D69" s="194">
        <v>29400</v>
      </c>
      <c r="E69" s="194">
        <v>29200</v>
      </c>
      <c r="F69" s="194">
        <v>29700</v>
      </c>
      <c r="G69" s="194">
        <v>30300</v>
      </c>
      <c r="H69" s="194">
        <v>29600</v>
      </c>
      <c r="I69" s="267">
        <v>29100</v>
      </c>
      <c r="J69" s="254">
        <v>25100</v>
      </c>
      <c r="K69" s="255">
        <v>25600</v>
      </c>
      <c r="L69" s="255">
        <v>25200</v>
      </c>
      <c r="M69" s="255">
        <v>25300</v>
      </c>
    </row>
    <row r="70" spans="1:15" ht="13">
      <c r="B70" s="191" t="s">
        <v>94</v>
      </c>
      <c r="C70" s="194"/>
      <c r="D70" s="194"/>
      <c r="E70" s="194"/>
      <c r="F70" s="194"/>
      <c r="G70" s="194"/>
      <c r="H70" s="194"/>
      <c r="I70" s="256"/>
      <c r="J70" s="254"/>
      <c r="K70" s="255"/>
      <c r="L70" s="255"/>
      <c r="M70" s="255"/>
    </row>
    <row r="71" spans="1:15" ht="13">
      <c r="B71" s="191"/>
      <c r="C71" s="194"/>
      <c r="D71" s="194"/>
      <c r="E71" s="194"/>
      <c r="F71" s="194"/>
      <c r="G71" s="194"/>
      <c r="H71" s="194"/>
      <c r="I71" s="267"/>
      <c r="J71" s="254"/>
      <c r="K71" s="255"/>
      <c r="L71" s="255"/>
      <c r="M71" s="255"/>
    </row>
    <row r="72" spans="1:15" ht="13">
      <c r="B72" s="193" t="s">
        <v>124</v>
      </c>
      <c r="C72" s="194">
        <v>17000</v>
      </c>
      <c r="D72" s="194">
        <v>16300</v>
      </c>
      <c r="E72" s="194">
        <v>16500</v>
      </c>
      <c r="F72" s="194">
        <v>16200</v>
      </c>
      <c r="G72" s="194">
        <v>16600</v>
      </c>
      <c r="H72" s="194">
        <v>16700</v>
      </c>
      <c r="I72" s="267">
        <v>16200</v>
      </c>
      <c r="J72" s="254">
        <v>15500</v>
      </c>
      <c r="K72" s="255">
        <v>15600</v>
      </c>
      <c r="L72" s="255">
        <v>14900</v>
      </c>
      <c r="M72" s="255">
        <v>14200</v>
      </c>
    </row>
    <row r="73" spans="1:15" ht="13">
      <c r="B73" s="193" t="s">
        <v>125</v>
      </c>
      <c r="C73" s="194">
        <v>14800</v>
      </c>
      <c r="D73" s="194">
        <v>13700</v>
      </c>
      <c r="E73" s="194">
        <v>13200</v>
      </c>
      <c r="F73" s="194">
        <v>14000</v>
      </c>
      <c r="G73" s="194">
        <v>13700</v>
      </c>
      <c r="H73" s="194">
        <v>13900</v>
      </c>
      <c r="I73" s="267">
        <v>13800</v>
      </c>
      <c r="J73" s="254">
        <v>13800</v>
      </c>
      <c r="K73" s="255">
        <v>14000</v>
      </c>
      <c r="L73" s="255">
        <v>12600</v>
      </c>
      <c r="M73" s="255">
        <v>12000</v>
      </c>
    </row>
    <row r="74" spans="1:15" ht="13">
      <c r="B74" s="191" t="s">
        <v>114</v>
      </c>
      <c r="C74" s="194">
        <v>31000</v>
      </c>
      <c r="D74" s="194">
        <v>29000</v>
      </c>
      <c r="E74" s="194">
        <v>29000</v>
      </c>
      <c r="F74" s="194">
        <v>31100</v>
      </c>
      <c r="G74" s="194">
        <v>29800</v>
      </c>
      <c r="H74" s="194">
        <v>30400</v>
      </c>
      <c r="I74" s="267">
        <v>29100</v>
      </c>
      <c r="J74" s="254">
        <v>38300</v>
      </c>
      <c r="K74" s="255">
        <v>38400</v>
      </c>
      <c r="L74" s="255">
        <v>38100</v>
      </c>
      <c r="M74" s="255">
        <v>38100</v>
      </c>
    </row>
    <row r="75" spans="1:15" ht="13">
      <c r="B75" s="192" t="s">
        <v>115</v>
      </c>
      <c r="C75" s="194">
        <v>24500</v>
      </c>
      <c r="D75" s="194">
        <v>24700</v>
      </c>
      <c r="E75" s="194">
        <v>24700</v>
      </c>
      <c r="F75" s="194">
        <v>24800</v>
      </c>
      <c r="G75" s="194">
        <v>24400</v>
      </c>
      <c r="H75" s="194">
        <v>24800</v>
      </c>
      <c r="I75" s="267">
        <v>24800</v>
      </c>
      <c r="J75" s="254">
        <v>29200</v>
      </c>
      <c r="K75" s="255">
        <v>30500</v>
      </c>
      <c r="L75" s="255">
        <v>29200</v>
      </c>
      <c r="M75" s="255">
        <v>28700</v>
      </c>
    </row>
    <row r="76" spans="1:15" ht="13">
      <c r="B76" s="192"/>
      <c r="C76" s="194"/>
      <c r="D76" s="194"/>
      <c r="E76" s="194"/>
      <c r="F76" s="194"/>
      <c r="G76" s="194"/>
      <c r="H76" s="194"/>
      <c r="I76" s="267"/>
      <c r="J76" s="254"/>
      <c r="K76" s="255"/>
      <c r="L76" s="255"/>
      <c r="M76" s="255"/>
    </row>
    <row r="77" spans="1:15" ht="13">
      <c r="B77" s="192" t="s">
        <v>126</v>
      </c>
      <c r="C77" s="194">
        <v>24200</v>
      </c>
      <c r="D77" s="194">
        <v>25100</v>
      </c>
      <c r="E77" s="194">
        <v>23800</v>
      </c>
      <c r="F77" s="194">
        <v>25600</v>
      </c>
      <c r="G77" s="194">
        <v>24100</v>
      </c>
      <c r="H77" s="194">
        <v>24800</v>
      </c>
      <c r="I77" s="267">
        <v>23400</v>
      </c>
      <c r="J77" s="254">
        <v>21700</v>
      </c>
      <c r="K77" s="255">
        <v>23300</v>
      </c>
      <c r="L77" s="255">
        <v>23700</v>
      </c>
      <c r="M77" s="255">
        <v>24200</v>
      </c>
    </row>
    <row r="78" spans="1:15" ht="13">
      <c r="B78" s="192" t="s">
        <v>127</v>
      </c>
      <c r="C78" s="194">
        <v>23900</v>
      </c>
      <c r="D78" s="194">
        <v>22900</v>
      </c>
      <c r="E78" s="194">
        <v>22000</v>
      </c>
      <c r="F78" s="194">
        <v>22300</v>
      </c>
      <c r="G78" s="194">
        <v>22000</v>
      </c>
      <c r="H78" s="194">
        <v>22500</v>
      </c>
      <c r="I78" s="267">
        <v>21900</v>
      </c>
      <c r="J78" s="254">
        <v>20700</v>
      </c>
      <c r="K78" s="255">
        <v>21700</v>
      </c>
      <c r="L78" s="255">
        <v>21400</v>
      </c>
      <c r="M78" s="255">
        <v>21900</v>
      </c>
    </row>
    <row r="79" spans="1:15" ht="13">
      <c r="B79" s="192"/>
      <c r="C79" s="194"/>
      <c r="D79" s="194"/>
      <c r="E79" s="194"/>
      <c r="F79" s="194"/>
      <c r="G79" s="194"/>
      <c r="H79" s="194"/>
      <c r="I79" s="267"/>
      <c r="J79" s="254"/>
      <c r="K79" s="255"/>
      <c r="L79" s="255"/>
      <c r="M79" s="255"/>
    </row>
    <row r="80" spans="1:15" ht="13">
      <c r="B80" s="192" t="s">
        <v>158</v>
      </c>
      <c r="C80" s="194">
        <v>22500</v>
      </c>
      <c r="D80" s="194">
        <v>23900</v>
      </c>
      <c r="E80" s="194">
        <v>23300</v>
      </c>
      <c r="F80" s="194">
        <v>24300</v>
      </c>
      <c r="G80" s="194">
        <v>23000</v>
      </c>
      <c r="H80" s="194">
        <v>23900</v>
      </c>
      <c r="I80" s="267">
        <v>24100</v>
      </c>
      <c r="J80" s="254">
        <v>23700</v>
      </c>
      <c r="K80" s="255">
        <v>24200</v>
      </c>
      <c r="L80" s="255">
        <v>23100</v>
      </c>
      <c r="M80" s="255">
        <v>23100</v>
      </c>
    </row>
    <row r="81" spans="1:15" ht="13">
      <c r="B81" s="192"/>
      <c r="C81" s="194"/>
      <c r="D81" s="194"/>
      <c r="E81" s="194"/>
      <c r="F81" s="194"/>
      <c r="G81" s="194"/>
      <c r="H81" s="194"/>
      <c r="I81" s="267"/>
      <c r="J81" s="254"/>
      <c r="K81" s="255"/>
      <c r="L81" s="255"/>
      <c r="M81" s="255"/>
    </row>
    <row r="82" spans="1:15" ht="13">
      <c r="B82" s="192"/>
      <c r="C82" s="194"/>
      <c r="D82" s="194"/>
      <c r="E82" s="194"/>
      <c r="F82" s="194"/>
      <c r="G82" s="194"/>
      <c r="H82" s="194"/>
      <c r="I82" s="267"/>
      <c r="J82" s="254"/>
      <c r="K82" s="255"/>
      <c r="L82" s="255"/>
      <c r="M82" s="255"/>
    </row>
    <row r="84" spans="1:15" ht="14.5" customHeight="1">
      <c r="A84" s="188" t="s">
        <v>182</v>
      </c>
      <c r="B84" s="189"/>
      <c r="C84" s="189"/>
      <c r="D84" s="189"/>
      <c r="E84" s="189"/>
      <c r="F84" s="189"/>
      <c r="G84" s="189"/>
      <c r="H84" s="189"/>
      <c r="I84" s="189"/>
      <c r="J84" s="189"/>
      <c r="K84" s="189"/>
      <c r="L84" s="189"/>
      <c r="M84" s="189"/>
      <c r="N84" s="189"/>
      <c r="O84" s="189"/>
    </row>
    <row r="85" spans="1:15" ht="14.5" customHeight="1">
      <c r="A85" s="189"/>
      <c r="B85" s="189"/>
      <c r="C85" s="207" t="s">
        <v>103</v>
      </c>
      <c r="D85" s="207" t="s">
        <v>104</v>
      </c>
      <c r="E85" s="207" t="s">
        <v>105</v>
      </c>
      <c r="F85" s="207" t="s">
        <v>107</v>
      </c>
      <c r="G85" s="207" t="s">
        <v>108</v>
      </c>
      <c r="H85" s="207" t="s">
        <v>109</v>
      </c>
      <c r="I85" s="266" t="s">
        <v>110</v>
      </c>
      <c r="J85" s="251" t="s">
        <v>147</v>
      </c>
      <c r="K85" s="252" t="s">
        <v>148</v>
      </c>
      <c r="L85" s="252" t="s">
        <v>149</v>
      </c>
      <c r="M85" s="252" t="s">
        <v>150</v>
      </c>
      <c r="N85" s="189"/>
      <c r="O85" s="189"/>
    </row>
    <row r="86" spans="1:15" ht="14.5" customHeight="1">
      <c r="A86" s="189"/>
      <c r="B86" s="191" t="s">
        <v>102</v>
      </c>
      <c r="C86" s="194">
        <v>19200</v>
      </c>
      <c r="D86" s="194">
        <v>20500</v>
      </c>
      <c r="E86" s="194">
        <v>21500</v>
      </c>
      <c r="F86" s="194">
        <v>21000</v>
      </c>
      <c r="G86" s="194">
        <v>21200</v>
      </c>
      <c r="H86" s="194">
        <v>21100</v>
      </c>
      <c r="I86" s="267">
        <v>21300</v>
      </c>
      <c r="J86" s="253">
        <v>20600</v>
      </c>
      <c r="K86" s="194">
        <v>21100</v>
      </c>
      <c r="L86" s="194">
        <v>18500</v>
      </c>
      <c r="M86" s="194">
        <v>18800</v>
      </c>
      <c r="N86" s="189"/>
      <c r="O86" s="189"/>
    </row>
    <row r="87" spans="1:15" ht="13">
      <c r="B87" s="191" t="s">
        <v>106</v>
      </c>
      <c r="C87" s="194">
        <v>14400</v>
      </c>
      <c r="D87" s="194">
        <v>15100</v>
      </c>
      <c r="E87" s="194">
        <v>14200</v>
      </c>
      <c r="F87" s="194">
        <v>14100</v>
      </c>
      <c r="G87" s="194">
        <v>14100</v>
      </c>
      <c r="H87" s="194">
        <v>15000</v>
      </c>
      <c r="I87" s="267">
        <v>14500</v>
      </c>
      <c r="J87" s="254">
        <v>14600</v>
      </c>
      <c r="K87" s="255">
        <v>14600</v>
      </c>
      <c r="L87" s="255">
        <v>14200</v>
      </c>
      <c r="M87" s="255">
        <v>15000</v>
      </c>
    </row>
    <row r="88" spans="1:15" ht="13">
      <c r="B88" s="191" t="s">
        <v>111</v>
      </c>
      <c r="C88" s="194">
        <v>35500</v>
      </c>
      <c r="D88" s="194">
        <v>35800</v>
      </c>
      <c r="E88" s="194">
        <v>35400</v>
      </c>
      <c r="F88" s="194">
        <v>36300</v>
      </c>
      <c r="G88" s="194">
        <v>37200</v>
      </c>
      <c r="H88" s="194">
        <v>35500</v>
      </c>
      <c r="I88" s="267">
        <v>35400</v>
      </c>
      <c r="J88" s="254">
        <v>46300</v>
      </c>
      <c r="K88" s="255">
        <v>46900</v>
      </c>
      <c r="L88" s="255">
        <v>46800</v>
      </c>
      <c r="M88" s="255">
        <v>46600</v>
      </c>
    </row>
    <row r="89" spans="1:15" ht="13">
      <c r="B89" s="191" t="s">
        <v>112</v>
      </c>
      <c r="C89" s="194">
        <v>25800</v>
      </c>
      <c r="D89" s="194">
        <v>26900</v>
      </c>
      <c r="E89" s="194">
        <v>26900</v>
      </c>
      <c r="F89" s="194"/>
      <c r="G89" s="194"/>
      <c r="H89" s="194">
        <v>26900</v>
      </c>
      <c r="I89" s="267">
        <v>26900</v>
      </c>
      <c r="J89" s="254"/>
      <c r="K89" s="255"/>
      <c r="L89" s="255"/>
      <c r="M89" s="255"/>
    </row>
    <row r="90" spans="1:15" ht="13">
      <c r="B90" s="191" t="s">
        <v>113</v>
      </c>
      <c r="C90" s="194">
        <v>26900</v>
      </c>
      <c r="D90" s="194">
        <v>26700</v>
      </c>
      <c r="E90" s="194">
        <v>26500</v>
      </c>
      <c r="F90" s="194">
        <v>27000</v>
      </c>
      <c r="G90" s="194">
        <v>27400</v>
      </c>
      <c r="H90" s="194">
        <v>26800</v>
      </c>
      <c r="I90" s="267">
        <v>26300</v>
      </c>
      <c r="J90" s="254">
        <v>23700</v>
      </c>
      <c r="K90" s="255">
        <v>24100</v>
      </c>
      <c r="L90" s="255">
        <v>23800</v>
      </c>
      <c r="M90" s="255">
        <v>23900</v>
      </c>
    </row>
    <row r="91" spans="1:15" ht="13">
      <c r="B91" s="191" t="s">
        <v>94</v>
      </c>
      <c r="C91" s="194"/>
      <c r="D91" s="194"/>
      <c r="E91" s="194"/>
      <c r="F91" s="194"/>
      <c r="G91" s="194"/>
      <c r="H91" s="194"/>
      <c r="I91" s="256"/>
      <c r="J91" s="254"/>
      <c r="K91" s="255"/>
      <c r="L91" s="255"/>
      <c r="M91" s="255"/>
    </row>
    <row r="92" spans="1:15" ht="13">
      <c r="B92" s="191"/>
      <c r="C92" s="194"/>
      <c r="D92" s="194"/>
      <c r="E92" s="194"/>
      <c r="F92" s="194"/>
      <c r="G92" s="194"/>
      <c r="H92" s="194"/>
      <c r="I92" s="267"/>
      <c r="J92" s="254"/>
      <c r="K92" s="255"/>
      <c r="L92" s="255"/>
      <c r="M92" s="255"/>
    </row>
    <row r="93" spans="1:15" ht="13">
      <c r="B93" s="193" t="s">
        <v>124</v>
      </c>
      <c r="C93" s="194">
        <v>15700</v>
      </c>
      <c r="D93" s="194">
        <v>15200</v>
      </c>
      <c r="E93" s="194">
        <v>15300</v>
      </c>
      <c r="F93" s="194">
        <v>15000</v>
      </c>
      <c r="G93" s="194">
        <v>15400</v>
      </c>
      <c r="H93" s="194">
        <v>15500</v>
      </c>
      <c r="I93" s="267">
        <v>15000</v>
      </c>
      <c r="J93" s="254">
        <v>14800</v>
      </c>
      <c r="K93" s="255">
        <v>14900</v>
      </c>
      <c r="L93" s="255">
        <v>14300</v>
      </c>
      <c r="M93" s="255">
        <v>13600</v>
      </c>
    </row>
    <row r="94" spans="1:15" ht="13">
      <c r="B94" s="193" t="s">
        <v>125</v>
      </c>
      <c r="C94" s="194">
        <v>13400</v>
      </c>
      <c r="D94" s="194">
        <v>12400</v>
      </c>
      <c r="E94" s="194">
        <v>12000</v>
      </c>
      <c r="F94" s="194">
        <v>12700</v>
      </c>
      <c r="G94" s="194">
        <v>12400</v>
      </c>
      <c r="H94" s="194">
        <v>12600</v>
      </c>
      <c r="I94" s="267">
        <v>12400</v>
      </c>
      <c r="J94" s="254">
        <v>13300</v>
      </c>
      <c r="K94" s="255">
        <v>13400</v>
      </c>
      <c r="L94" s="255">
        <v>12100</v>
      </c>
      <c r="M94" s="255">
        <v>11500</v>
      </c>
    </row>
    <row r="95" spans="1:15" ht="13">
      <c r="B95" s="191" t="s">
        <v>114</v>
      </c>
      <c r="C95" s="194">
        <v>29000</v>
      </c>
      <c r="D95" s="194">
        <v>27200</v>
      </c>
      <c r="E95" s="194">
        <v>27200</v>
      </c>
      <c r="F95" s="194">
        <v>29200</v>
      </c>
      <c r="G95" s="194">
        <v>27900</v>
      </c>
      <c r="H95" s="194">
        <v>28500</v>
      </c>
      <c r="I95" s="267">
        <v>27200</v>
      </c>
      <c r="J95" s="254">
        <v>35700</v>
      </c>
      <c r="K95" s="255">
        <v>35700</v>
      </c>
      <c r="L95" s="255">
        <v>35500</v>
      </c>
      <c r="M95" s="255">
        <v>35500</v>
      </c>
    </row>
    <row r="96" spans="1:15" ht="13">
      <c r="B96" s="192" t="s">
        <v>115</v>
      </c>
      <c r="C96" s="194">
        <v>22400</v>
      </c>
      <c r="D96" s="194">
        <v>22700</v>
      </c>
      <c r="E96" s="194">
        <v>22600</v>
      </c>
      <c r="F96" s="194">
        <v>22700</v>
      </c>
      <c r="G96" s="194">
        <v>22400</v>
      </c>
      <c r="H96" s="194">
        <v>22700</v>
      </c>
      <c r="I96" s="267">
        <v>22600</v>
      </c>
      <c r="J96" s="254">
        <v>26600</v>
      </c>
      <c r="K96" s="255">
        <v>27800</v>
      </c>
      <c r="L96" s="255">
        <v>26600</v>
      </c>
      <c r="M96" s="255">
        <v>26100</v>
      </c>
    </row>
    <row r="97" spans="1:15" ht="13">
      <c r="B97" s="192"/>
      <c r="C97" s="194"/>
      <c r="D97" s="194"/>
      <c r="E97" s="194"/>
      <c r="F97" s="194"/>
      <c r="G97" s="194"/>
      <c r="H97" s="194"/>
      <c r="I97" s="267"/>
      <c r="J97" s="254"/>
      <c r="K97" s="255"/>
      <c r="L97" s="255"/>
      <c r="M97" s="255"/>
    </row>
    <row r="98" spans="1:15" ht="13">
      <c r="B98" s="192" t="s">
        <v>126</v>
      </c>
      <c r="C98" s="194">
        <v>22100</v>
      </c>
      <c r="D98" s="194">
        <v>23500</v>
      </c>
      <c r="E98" s="194">
        <v>22300</v>
      </c>
      <c r="F98" s="194">
        <v>23900</v>
      </c>
      <c r="G98" s="194">
        <v>22500</v>
      </c>
      <c r="H98" s="194">
        <v>23200</v>
      </c>
      <c r="I98" s="267">
        <v>21800</v>
      </c>
      <c r="J98" s="254">
        <v>20400</v>
      </c>
      <c r="K98" s="255">
        <v>21800</v>
      </c>
      <c r="L98" s="255">
        <v>22200</v>
      </c>
      <c r="M98" s="255">
        <v>22700</v>
      </c>
    </row>
    <row r="99" spans="1:15" ht="13">
      <c r="B99" s="192" t="s">
        <v>127</v>
      </c>
      <c r="C99" s="194">
        <v>22100</v>
      </c>
      <c r="D99" s="194">
        <v>21100</v>
      </c>
      <c r="E99" s="194">
        <v>20300</v>
      </c>
      <c r="F99" s="194">
        <v>20500</v>
      </c>
      <c r="G99" s="194">
        <v>20300</v>
      </c>
      <c r="H99" s="194">
        <v>20800</v>
      </c>
      <c r="I99" s="267">
        <v>20100</v>
      </c>
      <c r="J99" s="254">
        <v>19900</v>
      </c>
      <c r="K99" s="255">
        <v>20800</v>
      </c>
      <c r="L99" s="255">
        <v>20500</v>
      </c>
      <c r="M99" s="255">
        <v>21000</v>
      </c>
    </row>
    <row r="100" spans="1:15" ht="13">
      <c r="B100" s="192"/>
      <c r="C100" s="194"/>
      <c r="D100" s="194"/>
      <c r="E100" s="194"/>
      <c r="F100" s="194"/>
      <c r="G100" s="194"/>
      <c r="H100" s="194"/>
      <c r="I100" s="267"/>
      <c r="J100" s="254"/>
      <c r="K100" s="255"/>
      <c r="L100" s="255"/>
      <c r="M100" s="255"/>
    </row>
    <row r="101" spans="1:15" ht="13">
      <c r="B101" s="192" t="s">
        <v>158</v>
      </c>
      <c r="C101" s="194">
        <v>21000</v>
      </c>
      <c r="D101" s="194">
        <v>22400</v>
      </c>
      <c r="E101" s="194">
        <v>21900</v>
      </c>
      <c r="F101" s="194">
        <v>22700</v>
      </c>
      <c r="G101" s="194">
        <v>21500</v>
      </c>
      <c r="H101" s="194">
        <v>22400</v>
      </c>
      <c r="I101" s="267">
        <v>22500</v>
      </c>
      <c r="J101" s="254">
        <v>21900</v>
      </c>
      <c r="K101" s="255">
        <v>22400</v>
      </c>
      <c r="L101" s="255">
        <v>21400</v>
      </c>
      <c r="M101" s="255">
        <v>21400</v>
      </c>
    </row>
    <row r="102" spans="1:15" ht="13">
      <c r="B102" s="192"/>
      <c r="C102" s="194"/>
      <c r="D102" s="194"/>
      <c r="E102" s="194"/>
      <c r="F102" s="194"/>
      <c r="G102" s="194"/>
      <c r="H102" s="194"/>
      <c r="I102" s="267"/>
      <c r="J102" s="254"/>
      <c r="K102" s="255"/>
      <c r="L102" s="255"/>
      <c r="M102" s="255"/>
    </row>
    <row r="103" spans="1:15" ht="13">
      <c r="B103" s="192"/>
      <c r="C103" s="194"/>
      <c r="D103" s="194"/>
      <c r="E103" s="194"/>
      <c r="F103" s="194"/>
      <c r="G103" s="194"/>
      <c r="H103" s="194"/>
      <c r="I103" s="267"/>
      <c r="J103" s="254"/>
      <c r="K103" s="255"/>
      <c r="L103" s="255"/>
      <c r="M103" s="255"/>
    </row>
    <row r="105" spans="1:15" ht="14.5" customHeight="1">
      <c r="A105" s="188" t="s">
        <v>180</v>
      </c>
      <c r="B105" s="189"/>
      <c r="C105" s="189"/>
      <c r="D105" s="189"/>
      <c r="E105" s="189"/>
      <c r="F105" s="189"/>
      <c r="G105" s="189"/>
      <c r="H105" s="189"/>
      <c r="I105" s="189"/>
      <c r="J105" s="189"/>
      <c r="K105" s="189"/>
      <c r="L105" s="189"/>
      <c r="M105" s="189"/>
      <c r="N105" s="189"/>
      <c r="O105" s="189"/>
    </row>
    <row r="106" spans="1:15" ht="14.5" customHeight="1">
      <c r="A106" s="189"/>
      <c r="B106" s="189"/>
      <c r="C106" s="207" t="s">
        <v>103</v>
      </c>
      <c r="D106" s="207" t="s">
        <v>104</v>
      </c>
      <c r="E106" s="207" t="s">
        <v>105</v>
      </c>
      <c r="F106" s="207" t="s">
        <v>107</v>
      </c>
      <c r="G106" s="207" t="s">
        <v>108</v>
      </c>
      <c r="H106" s="207" t="s">
        <v>109</v>
      </c>
      <c r="I106" s="266" t="s">
        <v>110</v>
      </c>
      <c r="J106" s="251" t="s">
        <v>147</v>
      </c>
      <c r="K106" s="252" t="s">
        <v>148</v>
      </c>
      <c r="L106" s="252" t="s">
        <v>149</v>
      </c>
      <c r="M106" s="252" t="s">
        <v>150</v>
      </c>
      <c r="N106" s="189"/>
      <c r="O106" s="189"/>
    </row>
    <row r="107" spans="1:15" ht="14.5" customHeight="1">
      <c r="A107" s="189"/>
      <c r="B107" s="191" t="s">
        <v>102</v>
      </c>
      <c r="C107" s="194">
        <v>18000</v>
      </c>
      <c r="D107" s="194">
        <v>19200</v>
      </c>
      <c r="E107" s="194">
        <v>20100</v>
      </c>
      <c r="F107" s="194">
        <v>19600</v>
      </c>
      <c r="G107" s="194">
        <v>19800</v>
      </c>
      <c r="H107" s="194">
        <v>19700</v>
      </c>
      <c r="I107" s="267">
        <v>19900</v>
      </c>
      <c r="J107" s="253">
        <v>19300</v>
      </c>
      <c r="K107" s="194">
        <v>19800</v>
      </c>
      <c r="L107" s="194">
        <v>17300</v>
      </c>
      <c r="M107" s="194">
        <v>17600</v>
      </c>
      <c r="N107" s="189"/>
      <c r="O107" s="189"/>
    </row>
    <row r="108" spans="1:15" ht="13">
      <c r="B108" s="191" t="s">
        <v>106</v>
      </c>
      <c r="C108" s="194">
        <v>13500</v>
      </c>
      <c r="D108" s="194">
        <v>14100</v>
      </c>
      <c r="E108" s="194">
        <v>13300</v>
      </c>
      <c r="F108" s="194">
        <v>13200</v>
      </c>
      <c r="G108" s="194">
        <v>13200</v>
      </c>
      <c r="H108" s="194">
        <v>14000</v>
      </c>
      <c r="I108" s="267">
        <v>13600</v>
      </c>
      <c r="J108" s="254">
        <v>14000</v>
      </c>
      <c r="K108" s="255">
        <v>14000</v>
      </c>
      <c r="L108" s="255">
        <v>13500</v>
      </c>
      <c r="M108" s="255">
        <v>14400</v>
      </c>
    </row>
    <row r="109" spans="1:15" ht="13">
      <c r="B109" s="191" t="s">
        <v>111</v>
      </c>
      <c r="C109" s="194">
        <v>34400</v>
      </c>
      <c r="D109" s="194">
        <v>34600</v>
      </c>
      <c r="E109" s="194">
        <v>34100</v>
      </c>
      <c r="F109" s="194">
        <v>35000</v>
      </c>
      <c r="G109" s="194">
        <v>35900</v>
      </c>
      <c r="H109" s="194">
        <v>34200</v>
      </c>
      <c r="I109" s="267">
        <v>34200</v>
      </c>
      <c r="J109" s="254">
        <v>43600</v>
      </c>
      <c r="K109" s="255">
        <v>44200</v>
      </c>
      <c r="L109" s="255">
        <v>44000</v>
      </c>
      <c r="M109" s="255">
        <v>43900</v>
      </c>
    </row>
    <row r="110" spans="1:15" ht="13">
      <c r="B110" s="191" t="s">
        <v>112</v>
      </c>
      <c r="C110" s="194">
        <v>25000</v>
      </c>
      <c r="D110" s="194">
        <v>26000</v>
      </c>
      <c r="E110" s="194">
        <v>26000</v>
      </c>
      <c r="F110" s="194">
        <v>26000</v>
      </c>
      <c r="G110" s="194">
        <v>26000</v>
      </c>
      <c r="H110" s="194">
        <v>26000</v>
      </c>
      <c r="I110" s="267">
        <v>26000</v>
      </c>
      <c r="J110" s="254"/>
      <c r="K110" s="255"/>
      <c r="L110" s="255"/>
      <c r="M110" s="255"/>
    </row>
    <row r="111" spans="1:15" ht="13">
      <c r="B111" s="191" t="s">
        <v>113</v>
      </c>
      <c r="C111" s="194">
        <v>24800</v>
      </c>
      <c r="D111" s="194">
        <v>24600</v>
      </c>
      <c r="E111" s="194">
        <v>24300</v>
      </c>
      <c r="F111" s="194">
        <v>24800</v>
      </c>
      <c r="G111" s="194">
        <v>25200</v>
      </c>
      <c r="H111" s="194">
        <v>24700</v>
      </c>
      <c r="I111" s="267">
        <v>24200</v>
      </c>
      <c r="J111" s="254">
        <v>22300</v>
      </c>
      <c r="K111" s="255">
        <v>22700</v>
      </c>
      <c r="L111" s="255">
        <v>22400</v>
      </c>
      <c r="M111" s="255">
        <v>22500</v>
      </c>
    </row>
    <row r="112" spans="1:15" ht="13">
      <c r="B112" s="191" t="s">
        <v>94</v>
      </c>
      <c r="C112" s="194"/>
      <c r="D112" s="194"/>
      <c r="E112" s="194"/>
      <c r="F112" s="194"/>
      <c r="G112" s="194"/>
      <c r="H112" s="194"/>
      <c r="I112" s="256"/>
      <c r="J112" s="254"/>
      <c r="K112" s="255"/>
      <c r="L112" s="255"/>
      <c r="M112" s="255"/>
    </row>
    <row r="113" spans="1:15" ht="13">
      <c r="B113" s="191"/>
      <c r="C113" s="194"/>
      <c r="D113" s="194"/>
      <c r="E113" s="194"/>
      <c r="F113" s="194"/>
      <c r="G113" s="194"/>
      <c r="H113" s="194"/>
      <c r="I113" s="267"/>
      <c r="J113" s="254"/>
      <c r="K113" s="255"/>
      <c r="L113" s="255"/>
      <c r="M113" s="255"/>
    </row>
    <row r="114" spans="1:15" ht="13">
      <c r="B114" s="193" t="s">
        <v>124</v>
      </c>
      <c r="C114" s="194">
        <v>14400</v>
      </c>
      <c r="D114" s="194">
        <v>13800</v>
      </c>
      <c r="E114" s="194">
        <v>14000</v>
      </c>
      <c r="F114" s="194">
        <v>13700</v>
      </c>
      <c r="G114" s="194">
        <v>14100</v>
      </c>
      <c r="H114" s="194">
        <v>14200</v>
      </c>
      <c r="I114" s="267">
        <v>13700</v>
      </c>
      <c r="J114" s="254">
        <v>13900</v>
      </c>
      <c r="K114" s="255">
        <v>14000</v>
      </c>
      <c r="L114" s="255">
        <v>13400</v>
      </c>
      <c r="M114" s="255">
        <v>12700</v>
      </c>
    </row>
    <row r="115" spans="1:15" ht="13">
      <c r="B115" s="193" t="s">
        <v>125</v>
      </c>
      <c r="C115" s="194">
        <v>12800</v>
      </c>
      <c r="D115" s="194">
        <v>11900</v>
      </c>
      <c r="E115" s="194">
        <v>11500</v>
      </c>
      <c r="F115" s="194">
        <v>12100</v>
      </c>
      <c r="G115" s="194">
        <v>11900</v>
      </c>
      <c r="H115" s="194">
        <v>12000</v>
      </c>
      <c r="I115" s="267">
        <v>11900</v>
      </c>
      <c r="J115" s="254">
        <v>12600</v>
      </c>
      <c r="K115" s="255">
        <v>12700</v>
      </c>
      <c r="L115" s="255">
        <v>11500</v>
      </c>
      <c r="M115" s="255">
        <v>10900</v>
      </c>
    </row>
    <row r="116" spans="1:15" ht="13">
      <c r="B116" s="191" t="s">
        <v>114</v>
      </c>
      <c r="C116" s="194">
        <v>27800</v>
      </c>
      <c r="D116" s="194">
        <v>26100</v>
      </c>
      <c r="E116" s="194">
        <v>26100</v>
      </c>
      <c r="F116" s="194">
        <v>27900</v>
      </c>
      <c r="G116" s="194">
        <v>26700</v>
      </c>
      <c r="H116" s="194">
        <v>27300</v>
      </c>
      <c r="I116" s="267">
        <v>26100</v>
      </c>
      <c r="J116" s="254">
        <v>34600</v>
      </c>
      <c r="K116" s="255">
        <v>34700</v>
      </c>
      <c r="L116" s="255">
        <v>34400</v>
      </c>
      <c r="M116" s="255">
        <v>34400</v>
      </c>
    </row>
    <row r="117" spans="1:15" ht="13">
      <c r="B117" s="192" t="s">
        <v>115</v>
      </c>
      <c r="C117" s="194">
        <v>21400</v>
      </c>
      <c r="D117" s="194">
        <v>21600</v>
      </c>
      <c r="E117" s="194">
        <v>21600</v>
      </c>
      <c r="F117" s="194">
        <v>21700</v>
      </c>
      <c r="G117" s="194">
        <v>21400</v>
      </c>
      <c r="H117" s="194">
        <v>21700</v>
      </c>
      <c r="I117" s="267">
        <v>21700</v>
      </c>
      <c r="J117" s="254">
        <v>25000</v>
      </c>
      <c r="K117" s="255">
        <v>26200</v>
      </c>
      <c r="L117" s="255">
        <v>25000</v>
      </c>
      <c r="M117" s="255">
        <v>24600</v>
      </c>
    </row>
    <row r="118" spans="1:15" ht="13">
      <c r="B118" s="192"/>
      <c r="C118" s="194"/>
      <c r="D118" s="194"/>
      <c r="E118" s="194"/>
      <c r="F118" s="194"/>
      <c r="G118" s="194"/>
      <c r="H118" s="194"/>
      <c r="I118" s="267"/>
      <c r="J118" s="254"/>
      <c r="K118" s="255"/>
      <c r="L118" s="255"/>
      <c r="M118" s="255"/>
    </row>
    <row r="119" spans="1:15" ht="13">
      <c r="B119" s="192" t="s">
        <v>126</v>
      </c>
      <c r="C119" s="194">
        <v>21100</v>
      </c>
      <c r="D119" s="194">
        <v>22400</v>
      </c>
      <c r="E119" s="194">
        <v>21200</v>
      </c>
      <c r="F119" s="194">
        <v>22800</v>
      </c>
      <c r="G119" s="194">
        <v>21500</v>
      </c>
      <c r="H119" s="194">
        <v>22100</v>
      </c>
      <c r="I119" s="267">
        <v>20800</v>
      </c>
      <c r="J119" s="254">
        <v>19500</v>
      </c>
      <c r="K119" s="255">
        <v>20900</v>
      </c>
      <c r="L119" s="255">
        <v>21300</v>
      </c>
      <c r="M119" s="255">
        <v>21700</v>
      </c>
    </row>
    <row r="120" spans="1:15" ht="13">
      <c r="B120" s="192" t="s">
        <v>127</v>
      </c>
      <c r="C120" s="194">
        <v>20400</v>
      </c>
      <c r="D120" s="194">
        <v>19500</v>
      </c>
      <c r="E120" s="194">
        <v>18700</v>
      </c>
      <c r="F120" s="194">
        <v>18900</v>
      </c>
      <c r="G120" s="194">
        <v>18700</v>
      </c>
      <c r="H120" s="194">
        <v>19200</v>
      </c>
      <c r="I120" s="267">
        <v>18600</v>
      </c>
      <c r="J120" s="254">
        <v>18500</v>
      </c>
      <c r="K120" s="255">
        <v>19400</v>
      </c>
      <c r="L120" s="255">
        <v>19100</v>
      </c>
      <c r="M120" s="255">
        <v>19500</v>
      </c>
    </row>
    <row r="121" spans="1:15" ht="13">
      <c r="B121" s="192"/>
      <c r="C121" s="194"/>
      <c r="D121" s="194"/>
      <c r="E121" s="194"/>
      <c r="F121" s="194"/>
      <c r="G121" s="194"/>
      <c r="H121" s="194"/>
      <c r="I121" s="267"/>
      <c r="J121" s="254"/>
      <c r="K121" s="255"/>
      <c r="L121" s="255"/>
      <c r="M121" s="255"/>
    </row>
    <row r="122" spans="1:15" ht="13">
      <c r="B122" s="192" t="s">
        <v>158</v>
      </c>
      <c r="C122" s="194">
        <v>20400</v>
      </c>
      <c r="D122" s="194">
        <v>21800</v>
      </c>
      <c r="E122" s="194">
        <v>21200</v>
      </c>
      <c r="F122" s="194">
        <v>22100</v>
      </c>
      <c r="G122" s="194">
        <v>20900</v>
      </c>
      <c r="H122" s="194">
        <v>21800</v>
      </c>
      <c r="I122" s="267">
        <v>21900</v>
      </c>
      <c r="J122" s="254">
        <v>20600</v>
      </c>
      <c r="K122" s="255">
        <v>21000</v>
      </c>
      <c r="L122" s="255">
        <v>20000</v>
      </c>
      <c r="M122" s="255">
        <v>20000</v>
      </c>
    </row>
    <row r="123" spans="1:15" ht="13">
      <c r="B123" s="192"/>
      <c r="C123" s="194"/>
      <c r="D123" s="194"/>
      <c r="E123" s="194"/>
      <c r="F123" s="194"/>
      <c r="G123" s="194"/>
      <c r="H123" s="194"/>
      <c r="I123" s="267"/>
      <c r="J123" s="254"/>
      <c r="K123" s="255"/>
      <c r="L123" s="255"/>
      <c r="M123" s="255"/>
    </row>
    <row r="124" spans="1:15" ht="13">
      <c r="B124" s="192"/>
      <c r="C124" s="194"/>
      <c r="D124" s="194"/>
      <c r="E124" s="194"/>
      <c r="F124" s="194"/>
      <c r="G124" s="194"/>
      <c r="H124" s="194"/>
      <c r="I124" s="267"/>
      <c r="J124" s="254"/>
      <c r="K124" s="255"/>
      <c r="L124" s="255"/>
      <c r="M124" s="255"/>
    </row>
    <row r="126" spans="1:15" ht="14.5" customHeight="1">
      <c r="A126" s="188" t="s">
        <v>175</v>
      </c>
      <c r="B126" s="189"/>
      <c r="C126" s="189"/>
      <c r="D126" s="189"/>
      <c r="E126" s="189"/>
      <c r="F126" s="189"/>
      <c r="G126" s="189"/>
      <c r="H126" s="189"/>
      <c r="I126" s="189"/>
      <c r="J126" s="189"/>
      <c r="K126" s="189"/>
      <c r="L126" s="189"/>
      <c r="M126" s="189"/>
      <c r="N126" s="189"/>
      <c r="O126" s="189"/>
    </row>
    <row r="127" spans="1:15" ht="14.5" customHeight="1">
      <c r="A127" s="189"/>
      <c r="B127" s="189"/>
      <c r="C127" s="207" t="s">
        <v>103</v>
      </c>
      <c r="D127" s="207" t="s">
        <v>104</v>
      </c>
      <c r="E127" s="207" t="s">
        <v>105</v>
      </c>
      <c r="F127" s="207" t="s">
        <v>107</v>
      </c>
      <c r="G127" s="207" t="s">
        <v>108</v>
      </c>
      <c r="H127" s="207" t="s">
        <v>109</v>
      </c>
      <c r="I127" s="266" t="s">
        <v>110</v>
      </c>
      <c r="J127" s="251" t="s">
        <v>147</v>
      </c>
      <c r="K127" s="252" t="s">
        <v>148</v>
      </c>
      <c r="L127" s="252" t="s">
        <v>149</v>
      </c>
      <c r="M127" s="252" t="s">
        <v>150</v>
      </c>
      <c r="N127" s="189"/>
      <c r="O127" s="189"/>
    </row>
    <row r="128" spans="1:15" ht="14.5" customHeight="1">
      <c r="A128" s="189"/>
      <c r="B128" s="191" t="s">
        <v>102</v>
      </c>
      <c r="C128" s="194">
        <v>17400</v>
      </c>
      <c r="D128" s="194">
        <v>18600</v>
      </c>
      <c r="E128" s="194">
        <v>19400</v>
      </c>
      <c r="F128" s="194">
        <v>19000</v>
      </c>
      <c r="G128" s="194">
        <v>19200</v>
      </c>
      <c r="H128" s="194">
        <v>19100</v>
      </c>
      <c r="I128" s="267">
        <v>19300</v>
      </c>
      <c r="J128" s="253">
        <v>18800</v>
      </c>
      <c r="K128" s="194">
        <v>19300</v>
      </c>
      <c r="L128" s="194">
        <v>16900</v>
      </c>
      <c r="M128" s="194">
        <v>17200</v>
      </c>
      <c r="N128" s="189"/>
      <c r="O128" s="189"/>
    </row>
    <row r="129" spans="2:13" ht="13">
      <c r="B129" s="191" t="s">
        <v>106</v>
      </c>
      <c r="C129" s="194">
        <v>13500</v>
      </c>
      <c r="D129" s="194">
        <v>14100</v>
      </c>
      <c r="E129" s="194">
        <v>13300</v>
      </c>
      <c r="F129" s="194">
        <v>13200</v>
      </c>
      <c r="G129" s="194">
        <v>13200</v>
      </c>
      <c r="H129" s="194">
        <v>14000</v>
      </c>
      <c r="I129" s="267">
        <v>13600</v>
      </c>
      <c r="J129" s="254">
        <v>13900</v>
      </c>
      <c r="K129" s="255">
        <v>13900</v>
      </c>
      <c r="L129" s="255">
        <v>13500</v>
      </c>
      <c r="M129" s="255">
        <v>14400</v>
      </c>
    </row>
    <row r="130" spans="2:13" ht="13">
      <c r="B130" s="191" t="s">
        <v>111</v>
      </c>
      <c r="C130" s="194">
        <v>32700</v>
      </c>
      <c r="D130" s="194">
        <v>33000</v>
      </c>
      <c r="E130" s="194">
        <v>32600</v>
      </c>
      <c r="F130" s="194">
        <v>33500</v>
      </c>
      <c r="G130" s="194">
        <v>34300</v>
      </c>
      <c r="H130" s="194">
        <v>32700</v>
      </c>
      <c r="I130" s="267">
        <v>32700</v>
      </c>
      <c r="J130" s="254">
        <v>43200</v>
      </c>
      <c r="K130" s="255">
        <v>43800</v>
      </c>
      <c r="L130" s="255">
        <v>43600</v>
      </c>
      <c r="M130" s="255">
        <v>43500</v>
      </c>
    </row>
    <row r="131" spans="2:13" ht="13">
      <c r="B131" s="191" t="s">
        <v>112</v>
      </c>
      <c r="C131" s="194">
        <v>23800</v>
      </c>
      <c r="D131" s="194">
        <v>24700</v>
      </c>
      <c r="E131" s="194">
        <v>24700</v>
      </c>
      <c r="F131" s="194">
        <v>24700</v>
      </c>
      <c r="G131" s="194">
        <v>24700</v>
      </c>
      <c r="H131" s="194">
        <v>24700</v>
      </c>
      <c r="I131" s="267">
        <v>24700</v>
      </c>
      <c r="J131" s="254"/>
      <c r="K131" s="255"/>
      <c r="L131" s="255"/>
      <c r="M131" s="255"/>
    </row>
    <row r="132" spans="2:13" ht="13">
      <c r="B132" s="191" t="s">
        <v>113</v>
      </c>
      <c r="C132" s="194">
        <v>23600</v>
      </c>
      <c r="D132" s="194">
        <v>23500</v>
      </c>
      <c r="E132" s="194">
        <v>23300</v>
      </c>
      <c r="F132" s="194">
        <v>23700</v>
      </c>
      <c r="G132" s="194">
        <v>24100</v>
      </c>
      <c r="H132" s="194">
        <v>23600</v>
      </c>
      <c r="I132" s="267">
        <v>23200</v>
      </c>
      <c r="J132" s="254">
        <v>21600</v>
      </c>
      <c r="K132" s="255">
        <v>22000</v>
      </c>
      <c r="L132" s="255">
        <v>21700</v>
      </c>
      <c r="M132" s="255">
        <v>21800</v>
      </c>
    </row>
    <row r="133" spans="2:13" ht="13">
      <c r="B133" s="191" t="s">
        <v>94</v>
      </c>
      <c r="C133" s="194"/>
      <c r="D133" s="194"/>
      <c r="E133" s="194"/>
      <c r="F133" s="194"/>
      <c r="G133" s="194"/>
      <c r="H133" s="194"/>
      <c r="I133" s="256"/>
      <c r="J133" s="254"/>
      <c r="K133" s="255"/>
      <c r="L133" s="255"/>
      <c r="M133" s="255"/>
    </row>
    <row r="134" spans="2:13" ht="13">
      <c r="B134" s="191"/>
      <c r="C134" s="194"/>
      <c r="D134" s="194"/>
      <c r="E134" s="194"/>
      <c r="F134" s="194"/>
      <c r="G134" s="194"/>
      <c r="H134" s="194"/>
      <c r="I134" s="267"/>
      <c r="J134" s="254"/>
      <c r="K134" s="255"/>
      <c r="L134" s="255"/>
      <c r="M134" s="255"/>
    </row>
    <row r="135" spans="2:13" ht="13">
      <c r="B135" s="193" t="s">
        <v>124</v>
      </c>
      <c r="C135" s="194">
        <v>14300</v>
      </c>
      <c r="D135" s="194">
        <v>13800</v>
      </c>
      <c r="E135" s="194">
        <v>13900</v>
      </c>
      <c r="F135" s="194">
        <v>13700</v>
      </c>
      <c r="G135" s="194">
        <v>14000</v>
      </c>
      <c r="H135" s="194">
        <v>14100</v>
      </c>
      <c r="I135" s="267">
        <v>13700</v>
      </c>
      <c r="J135" s="254">
        <v>13700</v>
      </c>
      <c r="K135" s="255">
        <v>13800</v>
      </c>
      <c r="L135" s="255">
        <v>13100</v>
      </c>
      <c r="M135" s="255">
        <v>12500</v>
      </c>
    </row>
    <row r="136" spans="2:13" ht="13">
      <c r="B136" s="193" t="s">
        <v>125</v>
      </c>
      <c r="C136" s="194">
        <v>12400</v>
      </c>
      <c r="D136" s="194">
        <v>11500</v>
      </c>
      <c r="E136" s="194">
        <v>11100</v>
      </c>
      <c r="F136" s="194">
        <v>11700</v>
      </c>
      <c r="G136" s="194">
        <v>11500</v>
      </c>
      <c r="H136" s="194">
        <v>11600</v>
      </c>
      <c r="I136" s="267">
        <v>11500</v>
      </c>
      <c r="J136" s="254">
        <v>12300</v>
      </c>
      <c r="K136" s="255">
        <v>12400</v>
      </c>
      <c r="L136" s="255">
        <v>11300</v>
      </c>
      <c r="M136" s="255">
        <v>10700</v>
      </c>
    </row>
    <row r="137" spans="2:13" ht="13">
      <c r="B137" s="191" t="s">
        <v>114</v>
      </c>
      <c r="C137" s="194">
        <v>27800</v>
      </c>
      <c r="D137" s="194">
        <v>26000</v>
      </c>
      <c r="E137" s="194">
        <v>26000</v>
      </c>
      <c r="F137" s="194">
        <v>27900</v>
      </c>
      <c r="G137" s="194">
        <v>26700</v>
      </c>
      <c r="H137" s="194">
        <v>27200</v>
      </c>
      <c r="I137" s="267">
        <v>26000</v>
      </c>
      <c r="J137" s="254">
        <v>34600</v>
      </c>
      <c r="K137" s="255">
        <v>34700</v>
      </c>
      <c r="L137" s="255">
        <v>34400</v>
      </c>
      <c r="M137" s="255">
        <v>34400</v>
      </c>
    </row>
    <row r="138" spans="2:13" ht="13">
      <c r="B138" s="192" t="s">
        <v>115</v>
      </c>
      <c r="C138" s="194">
        <v>21000</v>
      </c>
      <c r="D138" s="194">
        <v>21200</v>
      </c>
      <c r="E138" s="194">
        <v>21200</v>
      </c>
      <c r="F138" s="194">
        <v>21300</v>
      </c>
      <c r="G138" s="194">
        <v>21000</v>
      </c>
      <c r="H138" s="194">
        <v>21300</v>
      </c>
      <c r="I138" s="267">
        <v>21300</v>
      </c>
      <c r="J138" s="254">
        <v>23800</v>
      </c>
      <c r="K138" s="255">
        <v>24900</v>
      </c>
      <c r="L138" s="255">
        <v>23800</v>
      </c>
      <c r="M138" s="255">
        <v>23400</v>
      </c>
    </row>
    <row r="139" spans="2:13" ht="13">
      <c r="B139" s="192"/>
      <c r="C139" s="194"/>
      <c r="D139" s="194"/>
      <c r="E139" s="194"/>
      <c r="F139" s="194"/>
      <c r="G139" s="194"/>
      <c r="H139" s="194"/>
      <c r="I139" s="267"/>
      <c r="J139" s="254"/>
      <c r="K139" s="255"/>
      <c r="L139" s="255"/>
      <c r="M139" s="255"/>
    </row>
    <row r="140" spans="2:13" ht="13">
      <c r="B140" s="192" t="s">
        <v>126</v>
      </c>
      <c r="C140" s="194">
        <v>20200</v>
      </c>
      <c r="D140" s="194">
        <v>21400</v>
      </c>
      <c r="E140" s="194">
        <v>20300</v>
      </c>
      <c r="F140" s="194">
        <v>21800</v>
      </c>
      <c r="G140" s="194">
        <v>20500</v>
      </c>
      <c r="H140" s="194">
        <v>21200</v>
      </c>
      <c r="I140" s="267">
        <v>19900</v>
      </c>
      <c r="J140" s="254">
        <v>18600</v>
      </c>
      <c r="K140" s="255">
        <v>20000</v>
      </c>
      <c r="L140" s="255">
        <v>20300</v>
      </c>
      <c r="M140" s="255">
        <v>20700</v>
      </c>
    </row>
    <row r="141" spans="2:13" ht="13">
      <c r="B141" s="192" t="s">
        <v>127</v>
      </c>
      <c r="C141" s="194">
        <v>19900</v>
      </c>
      <c r="D141" s="194">
        <v>19000</v>
      </c>
      <c r="E141" s="194">
        <v>18300</v>
      </c>
      <c r="F141" s="194">
        <v>18500</v>
      </c>
      <c r="G141" s="194">
        <v>18300</v>
      </c>
      <c r="H141" s="194">
        <v>18700</v>
      </c>
      <c r="I141" s="267">
        <v>18100</v>
      </c>
      <c r="J141" s="254">
        <v>18000</v>
      </c>
      <c r="K141" s="255">
        <v>18900</v>
      </c>
      <c r="L141" s="255">
        <v>18600</v>
      </c>
      <c r="M141" s="255">
        <v>19000</v>
      </c>
    </row>
    <row r="142" spans="2:13" ht="13">
      <c r="B142" s="192"/>
      <c r="C142" s="194"/>
      <c r="D142" s="194"/>
      <c r="E142" s="194"/>
      <c r="F142" s="194"/>
      <c r="G142" s="194"/>
      <c r="H142" s="194"/>
      <c r="I142" s="267"/>
      <c r="J142" s="254"/>
      <c r="K142" s="255"/>
      <c r="L142" s="255"/>
      <c r="M142" s="255"/>
    </row>
    <row r="143" spans="2:13" ht="13">
      <c r="B143" s="192" t="s">
        <v>158</v>
      </c>
      <c r="C143" s="194">
        <v>19700</v>
      </c>
      <c r="D143" s="194">
        <v>20900</v>
      </c>
      <c r="E143" s="194">
        <v>20400</v>
      </c>
      <c r="F143" s="194">
        <v>21300</v>
      </c>
      <c r="G143" s="194">
        <v>20100</v>
      </c>
      <c r="H143" s="194">
        <v>20900</v>
      </c>
      <c r="I143" s="267">
        <v>21000</v>
      </c>
      <c r="J143" s="254">
        <v>20200</v>
      </c>
      <c r="K143" s="255">
        <v>20600</v>
      </c>
      <c r="L143" s="255">
        <v>19600</v>
      </c>
      <c r="M143" s="255">
        <v>19600</v>
      </c>
    </row>
    <row r="144" spans="2:13" ht="13">
      <c r="B144" s="192"/>
      <c r="C144" s="194"/>
      <c r="D144" s="194"/>
      <c r="E144" s="194"/>
      <c r="F144" s="194"/>
      <c r="G144" s="194"/>
      <c r="H144" s="194"/>
      <c r="I144" s="267"/>
      <c r="J144" s="254"/>
      <c r="K144" s="255"/>
      <c r="L144" s="255"/>
      <c r="M144" s="255"/>
    </row>
    <row r="145" spans="1:15" ht="13">
      <c r="B145" s="192"/>
      <c r="C145" s="194"/>
      <c r="D145" s="194"/>
      <c r="E145" s="194"/>
      <c r="F145" s="194"/>
      <c r="G145" s="194"/>
      <c r="H145" s="194"/>
      <c r="I145" s="267"/>
      <c r="J145" s="254"/>
      <c r="K145" s="255"/>
      <c r="L145" s="255"/>
      <c r="M145" s="255"/>
    </row>
    <row r="146" spans="1:15" ht="13">
      <c r="B146" s="303"/>
      <c r="C146" s="190"/>
      <c r="D146" s="190"/>
      <c r="E146" s="190"/>
      <c r="F146" s="190"/>
      <c r="G146" s="190"/>
      <c r="H146" s="190"/>
      <c r="I146" s="190"/>
      <c r="J146" s="304"/>
      <c r="K146" s="304"/>
      <c r="L146" s="304"/>
      <c r="M146" s="304"/>
    </row>
    <row r="147" spans="1:15" ht="14.5" customHeight="1">
      <c r="A147" s="188" t="s">
        <v>173</v>
      </c>
      <c r="B147" s="189"/>
      <c r="C147" s="189"/>
      <c r="D147" s="189"/>
      <c r="E147" s="189"/>
      <c r="F147" s="189"/>
      <c r="G147" s="189"/>
      <c r="H147" s="189"/>
      <c r="I147" s="189"/>
      <c r="J147" s="189"/>
      <c r="K147" s="189"/>
      <c r="L147" s="189"/>
      <c r="M147" s="189"/>
      <c r="N147" s="189"/>
      <c r="O147" s="189"/>
    </row>
    <row r="148" spans="1:15" ht="14.5" customHeight="1">
      <c r="A148" s="189"/>
      <c r="B148" s="189"/>
      <c r="C148" s="207" t="s">
        <v>103</v>
      </c>
      <c r="D148" s="207" t="s">
        <v>104</v>
      </c>
      <c r="E148" s="207" t="s">
        <v>105</v>
      </c>
      <c r="F148" s="207" t="s">
        <v>107</v>
      </c>
      <c r="G148" s="207" t="s">
        <v>108</v>
      </c>
      <c r="H148" s="207" t="s">
        <v>109</v>
      </c>
      <c r="I148" s="266" t="s">
        <v>110</v>
      </c>
      <c r="J148" s="251" t="s">
        <v>147</v>
      </c>
      <c r="K148" s="252" t="s">
        <v>148</v>
      </c>
      <c r="L148" s="252" t="s">
        <v>149</v>
      </c>
      <c r="M148" s="252" t="s">
        <v>150</v>
      </c>
      <c r="N148" s="189"/>
      <c r="O148" s="189"/>
    </row>
    <row r="149" spans="1:15" ht="14.5" customHeight="1">
      <c r="A149" s="189"/>
      <c r="B149" s="191" t="s">
        <v>102</v>
      </c>
      <c r="C149" s="194">
        <v>17300</v>
      </c>
      <c r="D149" s="194">
        <v>18600</v>
      </c>
      <c r="E149" s="194">
        <v>19400</v>
      </c>
      <c r="F149" s="194">
        <v>19000</v>
      </c>
      <c r="G149" s="194">
        <v>19200</v>
      </c>
      <c r="H149" s="194">
        <v>19100</v>
      </c>
      <c r="I149" s="267">
        <v>19300</v>
      </c>
      <c r="J149" s="253">
        <v>18500</v>
      </c>
      <c r="K149" s="194">
        <v>19000</v>
      </c>
      <c r="L149" s="194">
        <v>16600</v>
      </c>
      <c r="M149" s="194">
        <v>17000</v>
      </c>
      <c r="N149" s="189"/>
      <c r="O149" s="189"/>
    </row>
    <row r="150" spans="1:15" ht="13">
      <c r="B150" s="191" t="s">
        <v>106</v>
      </c>
      <c r="C150" s="194">
        <v>13500</v>
      </c>
      <c r="D150" s="194">
        <v>14100</v>
      </c>
      <c r="E150" s="194">
        <v>13300</v>
      </c>
      <c r="F150" s="194">
        <v>13200</v>
      </c>
      <c r="G150" s="194">
        <v>13200</v>
      </c>
      <c r="H150" s="194">
        <v>14000</v>
      </c>
      <c r="I150" s="267">
        <v>13600</v>
      </c>
      <c r="J150" s="254">
        <v>13900</v>
      </c>
      <c r="K150" s="255">
        <v>13900</v>
      </c>
      <c r="L150" s="255">
        <v>13500</v>
      </c>
      <c r="M150" s="255">
        <v>14400</v>
      </c>
    </row>
    <row r="151" spans="1:15" ht="13">
      <c r="B151" s="191" t="s">
        <v>111</v>
      </c>
      <c r="C151" s="194">
        <v>32600</v>
      </c>
      <c r="D151" s="194">
        <v>33000</v>
      </c>
      <c r="E151" s="194">
        <v>32600</v>
      </c>
      <c r="F151" s="194">
        <v>33500</v>
      </c>
      <c r="G151" s="194">
        <v>34300</v>
      </c>
      <c r="H151" s="194">
        <v>32700</v>
      </c>
      <c r="I151" s="267">
        <v>32700</v>
      </c>
      <c r="J151" s="254">
        <v>41800</v>
      </c>
      <c r="K151" s="255">
        <v>42500</v>
      </c>
      <c r="L151" s="255">
        <v>42300</v>
      </c>
      <c r="M151" s="255">
        <v>42200</v>
      </c>
    </row>
    <row r="152" spans="1:15" ht="13">
      <c r="B152" s="191" t="s">
        <v>112</v>
      </c>
      <c r="C152" s="194">
        <v>23600</v>
      </c>
      <c r="D152" s="194">
        <v>24700</v>
      </c>
      <c r="E152" s="194">
        <v>24700</v>
      </c>
      <c r="F152" s="194">
        <v>24700</v>
      </c>
      <c r="G152" s="194">
        <v>24700</v>
      </c>
      <c r="H152" s="194">
        <v>24700</v>
      </c>
      <c r="I152" s="267">
        <v>24700</v>
      </c>
      <c r="J152" s="254"/>
      <c r="K152" s="255"/>
      <c r="L152" s="255"/>
      <c r="M152" s="255"/>
    </row>
    <row r="153" spans="1:15" ht="13">
      <c r="B153" s="191" t="s">
        <v>113</v>
      </c>
      <c r="C153" s="194">
        <v>23500</v>
      </c>
      <c r="D153" s="194">
        <v>23500</v>
      </c>
      <c r="E153" s="194">
        <v>23300</v>
      </c>
      <c r="F153" s="194">
        <v>23700</v>
      </c>
      <c r="G153" s="194">
        <v>24100</v>
      </c>
      <c r="H153" s="194">
        <v>23600</v>
      </c>
      <c r="I153" s="267">
        <v>23200</v>
      </c>
      <c r="J153" s="254">
        <v>21600</v>
      </c>
      <c r="K153" s="255">
        <v>22000</v>
      </c>
      <c r="L153" s="255">
        <v>21700</v>
      </c>
      <c r="M153" s="255">
        <v>21800</v>
      </c>
    </row>
    <row r="154" spans="1:15" ht="13">
      <c r="B154" s="191" t="s">
        <v>94</v>
      </c>
      <c r="C154" s="194"/>
      <c r="D154" s="194"/>
      <c r="E154" s="194"/>
      <c r="F154" s="194"/>
      <c r="G154" s="194"/>
      <c r="H154" s="194"/>
      <c r="I154" s="256"/>
      <c r="J154" s="254"/>
      <c r="K154" s="255"/>
      <c r="L154" s="255"/>
      <c r="M154" s="255"/>
    </row>
    <row r="155" spans="1:15" ht="13">
      <c r="B155" s="191"/>
      <c r="C155" s="194"/>
      <c r="D155" s="194"/>
      <c r="E155" s="194"/>
      <c r="F155" s="194"/>
      <c r="G155" s="194"/>
      <c r="H155" s="194"/>
      <c r="I155" s="267"/>
      <c r="J155" s="254"/>
      <c r="K155" s="255"/>
      <c r="L155" s="255"/>
      <c r="M155" s="255"/>
    </row>
    <row r="156" spans="1:15" ht="13">
      <c r="B156" s="193" t="s">
        <v>124</v>
      </c>
      <c r="C156" s="194">
        <v>13800</v>
      </c>
      <c r="D156" s="194">
        <v>13400</v>
      </c>
      <c r="E156" s="194">
        <v>13500</v>
      </c>
      <c r="F156" s="194">
        <v>13200</v>
      </c>
      <c r="G156" s="194">
        <v>13600</v>
      </c>
      <c r="H156" s="194">
        <v>13700</v>
      </c>
      <c r="I156" s="267">
        <v>13200</v>
      </c>
      <c r="J156" s="254">
        <v>13700</v>
      </c>
      <c r="K156" s="255">
        <v>13800</v>
      </c>
      <c r="L156" s="255">
        <v>13100</v>
      </c>
      <c r="M156" s="255">
        <v>12500</v>
      </c>
    </row>
    <row r="157" spans="1:15" ht="13">
      <c r="B157" s="193" t="s">
        <v>125</v>
      </c>
      <c r="C157" s="194">
        <v>12100</v>
      </c>
      <c r="D157" s="194">
        <v>11300</v>
      </c>
      <c r="E157" s="194">
        <v>10900</v>
      </c>
      <c r="F157" s="194">
        <v>11500</v>
      </c>
      <c r="G157" s="194">
        <v>11300</v>
      </c>
      <c r="H157" s="194">
        <v>11400</v>
      </c>
      <c r="I157" s="267">
        <v>11300</v>
      </c>
      <c r="J157" s="254">
        <v>12200</v>
      </c>
      <c r="K157" s="255">
        <v>12300</v>
      </c>
      <c r="L157" s="255">
        <v>11100</v>
      </c>
      <c r="M157" s="255">
        <v>10600</v>
      </c>
    </row>
    <row r="158" spans="1:15" ht="13">
      <c r="B158" s="191" t="s">
        <v>114</v>
      </c>
      <c r="C158" s="194">
        <v>26400</v>
      </c>
      <c r="D158" s="194">
        <v>24900</v>
      </c>
      <c r="E158" s="194">
        <v>24900</v>
      </c>
      <c r="F158" s="194">
        <v>26700</v>
      </c>
      <c r="G158" s="194">
        <v>25500</v>
      </c>
      <c r="H158" s="194">
        <v>26000</v>
      </c>
      <c r="I158" s="267">
        <v>24900</v>
      </c>
      <c r="J158" s="254">
        <v>34600</v>
      </c>
      <c r="K158" s="255">
        <v>34700</v>
      </c>
      <c r="L158" s="255">
        <v>34400</v>
      </c>
      <c r="M158" s="255">
        <v>34400</v>
      </c>
    </row>
    <row r="159" spans="1:15" ht="13">
      <c r="B159" s="192" t="s">
        <v>115</v>
      </c>
      <c r="C159" s="194">
        <v>20900</v>
      </c>
      <c r="D159" s="194">
        <v>21200</v>
      </c>
      <c r="E159" s="194">
        <v>21200</v>
      </c>
      <c r="F159" s="194">
        <v>21300</v>
      </c>
      <c r="G159" s="194">
        <v>21000</v>
      </c>
      <c r="H159" s="194">
        <v>21300</v>
      </c>
      <c r="I159" s="267">
        <v>21300</v>
      </c>
      <c r="J159" s="254">
        <v>23000</v>
      </c>
      <c r="K159" s="255">
        <v>24000</v>
      </c>
      <c r="L159" s="255">
        <v>23000</v>
      </c>
      <c r="M159" s="255">
        <v>22500</v>
      </c>
    </row>
    <row r="160" spans="1:15" ht="13">
      <c r="B160" s="192"/>
      <c r="C160" s="194"/>
      <c r="D160" s="194"/>
      <c r="E160" s="194"/>
      <c r="F160" s="194"/>
      <c r="G160" s="194"/>
      <c r="H160" s="194"/>
      <c r="I160" s="267"/>
      <c r="J160" s="254"/>
      <c r="K160" s="255"/>
      <c r="L160" s="255"/>
      <c r="M160" s="255"/>
    </row>
    <row r="161" spans="1:15" ht="13">
      <c r="B161" s="192" t="s">
        <v>126</v>
      </c>
      <c r="C161" s="194">
        <v>19700</v>
      </c>
      <c r="D161" s="194">
        <v>20900</v>
      </c>
      <c r="E161" s="194">
        <v>19800</v>
      </c>
      <c r="F161" s="194">
        <v>21300</v>
      </c>
      <c r="G161" s="194">
        <v>20100</v>
      </c>
      <c r="H161" s="194">
        <v>20700</v>
      </c>
      <c r="I161" s="267">
        <v>19400</v>
      </c>
      <c r="J161" s="254">
        <v>18500</v>
      </c>
      <c r="K161" s="255">
        <v>19900</v>
      </c>
      <c r="L161" s="255">
        <v>20200</v>
      </c>
      <c r="M161" s="255">
        <v>20600</v>
      </c>
    </row>
    <row r="162" spans="1:15" ht="13">
      <c r="B162" s="192" t="s">
        <v>127</v>
      </c>
      <c r="C162" s="194">
        <v>19200</v>
      </c>
      <c r="D162" s="194">
        <v>18500</v>
      </c>
      <c r="E162" s="194">
        <v>17700</v>
      </c>
      <c r="F162" s="194">
        <v>17900</v>
      </c>
      <c r="G162" s="194">
        <v>17700</v>
      </c>
      <c r="H162" s="194">
        <v>18200</v>
      </c>
      <c r="I162" s="267">
        <v>17600</v>
      </c>
      <c r="J162" s="254">
        <v>17400</v>
      </c>
      <c r="K162" s="255">
        <v>18200</v>
      </c>
      <c r="L162" s="255">
        <v>17900</v>
      </c>
      <c r="M162" s="255">
        <v>18300</v>
      </c>
    </row>
    <row r="163" spans="1:15" ht="13">
      <c r="B163" s="192"/>
      <c r="C163" s="194"/>
      <c r="D163" s="194"/>
      <c r="E163" s="194"/>
      <c r="F163" s="194"/>
      <c r="G163" s="194"/>
      <c r="H163" s="194"/>
      <c r="I163" s="267"/>
      <c r="J163" s="254"/>
      <c r="K163" s="255"/>
      <c r="L163" s="255"/>
      <c r="M163" s="255"/>
    </row>
    <row r="164" spans="1:15" ht="13">
      <c r="B164" s="192" t="s">
        <v>158</v>
      </c>
      <c r="C164" s="194">
        <v>19700</v>
      </c>
      <c r="D164" s="194">
        <v>20900</v>
      </c>
      <c r="E164" s="194">
        <v>20400</v>
      </c>
      <c r="F164" s="194">
        <v>21300</v>
      </c>
      <c r="G164" s="194">
        <v>20100</v>
      </c>
      <c r="H164" s="194">
        <v>20900</v>
      </c>
      <c r="I164" s="267">
        <v>21000</v>
      </c>
      <c r="J164" s="254">
        <v>19700</v>
      </c>
      <c r="K164" s="255">
        <v>20100</v>
      </c>
      <c r="L164" s="255">
        <v>19200</v>
      </c>
      <c r="M164" s="255">
        <v>19200</v>
      </c>
    </row>
    <row r="165" spans="1:15" ht="13">
      <c r="B165" s="192"/>
      <c r="C165" s="194"/>
      <c r="D165" s="194"/>
      <c r="E165" s="194"/>
      <c r="F165" s="194"/>
      <c r="G165" s="194"/>
      <c r="H165" s="194"/>
      <c r="I165" s="267"/>
      <c r="J165" s="254"/>
      <c r="K165" s="255"/>
      <c r="L165" s="255"/>
      <c r="M165" s="255"/>
    </row>
    <row r="166" spans="1:15" ht="13">
      <c r="B166" s="192"/>
      <c r="C166" s="194"/>
      <c r="D166" s="194"/>
      <c r="E166" s="194"/>
      <c r="F166" s="194"/>
      <c r="G166" s="194"/>
      <c r="H166" s="194"/>
      <c r="I166" s="267"/>
      <c r="J166" s="254"/>
      <c r="K166" s="255"/>
      <c r="L166" s="255"/>
      <c r="M166" s="255"/>
    </row>
    <row r="167" spans="1:15" ht="13">
      <c r="B167" s="303"/>
      <c r="C167" s="190"/>
      <c r="D167" s="190"/>
      <c r="E167" s="190"/>
      <c r="F167" s="190"/>
      <c r="G167" s="190"/>
      <c r="H167" s="190"/>
      <c r="I167" s="190"/>
      <c r="J167" s="304"/>
      <c r="K167" s="304"/>
      <c r="L167" s="304"/>
      <c r="M167" s="304"/>
    </row>
    <row r="168" spans="1:15" ht="14.5" customHeight="1">
      <c r="A168" s="188" t="s">
        <v>160</v>
      </c>
      <c r="B168" s="189"/>
      <c r="C168" s="189"/>
      <c r="D168" s="189"/>
      <c r="E168" s="189"/>
      <c r="F168" s="189"/>
      <c r="G168" s="189"/>
      <c r="H168" s="189"/>
      <c r="I168" s="189"/>
      <c r="J168" s="189"/>
      <c r="K168" s="189"/>
      <c r="L168" s="189"/>
      <c r="M168" s="189"/>
      <c r="N168" s="189"/>
      <c r="O168" s="189"/>
    </row>
    <row r="169" spans="1:15" ht="14.5" customHeight="1">
      <c r="A169" s="189"/>
      <c r="B169" s="189"/>
      <c r="C169" s="207" t="s">
        <v>103</v>
      </c>
      <c r="D169" s="207" t="s">
        <v>104</v>
      </c>
      <c r="E169" s="207" t="s">
        <v>105</v>
      </c>
      <c r="F169" s="207" t="s">
        <v>107</v>
      </c>
      <c r="G169" s="207" t="s">
        <v>108</v>
      </c>
      <c r="H169" s="207" t="s">
        <v>109</v>
      </c>
      <c r="I169" s="266" t="s">
        <v>110</v>
      </c>
      <c r="J169" s="251" t="s">
        <v>147</v>
      </c>
      <c r="K169" s="252" t="s">
        <v>148</v>
      </c>
      <c r="L169" s="252" t="s">
        <v>149</v>
      </c>
      <c r="M169" s="252" t="s">
        <v>150</v>
      </c>
      <c r="N169" s="189"/>
      <c r="O169" s="189"/>
    </row>
    <row r="170" spans="1:15" ht="14.5" customHeight="1">
      <c r="A170" s="189"/>
      <c r="B170" s="191" t="s">
        <v>102</v>
      </c>
      <c r="C170" s="194">
        <v>17100</v>
      </c>
      <c r="D170" s="194">
        <v>18300</v>
      </c>
      <c r="E170" s="194">
        <v>19100</v>
      </c>
      <c r="F170" s="194">
        <v>18700</v>
      </c>
      <c r="G170" s="194">
        <v>18900</v>
      </c>
      <c r="H170" s="194">
        <v>18800</v>
      </c>
      <c r="I170" s="267">
        <v>19000</v>
      </c>
      <c r="J170" s="253">
        <v>18300</v>
      </c>
      <c r="K170" s="194">
        <v>18800</v>
      </c>
      <c r="L170" s="194">
        <v>16400</v>
      </c>
      <c r="M170" s="194">
        <v>16700</v>
      </c>
      <c r="N170" s="189"/>
      <c r="O170" s="189"/>
    </row>
    <row r="171" spans="1:15" ht="13">
      <c r="B171" s="191" t="s">
        <v>106</v>
      </c>
      <c r="C171" s="194">
        <v>13000</v>
      </c>
      <c r="D171" s="194">
        <v>13900</v>
      </c>
      <c r="E171" s="194">
        <v>13100</v>
      </c>
      <c r="F171" s="194">
        <v>13000</v>
      </c>
      <c r="G171" s="194">
        <v>12500</v>
      </c>
      <c r="H171" s="194">
        <v>13800</v>
      </c>
      <c r="I171" s="267">
        <v>13000</v>
      </c>
      <c r="J171" s="254">
        <v>13700</v>
      </c>
      <c r="K171" s="255">
        <v>13700</v>
      </c>
      <c r="L171" s="255">
        <v>13300</v>
      </c>
      <c r="M171" s="255">
        <v>14100</v>
      </c>
    </row>
    <row r="172" spans="1:15" ht="13">
      <c r="B172" s="191" t="s">
        <v>111</v>
      </c>
      <c r="C172" s="194">
        <v>31200</v>
      </c>
      <c r="D172" s="194">
        <v>32300</v>
      </c>
      <c r="E172" s="194">
        <v>31900</v>
      </c>
      <c r="F172" s="194">
        <v>32700</v>
      </c>
      <c r="G172" s="194">
        <v>33500</v>
      </c>
      <c r="H172" s="194">
        <v>32000</v>
      </c>
      <c r="I172" s="267">
        <v>32000</v>
      </c>
      <c r="J172" s="254">
        <v>40100</v>
      </c>
      <c r="K172" s="255">
        <v>40700</v>
      </c>
      <c r="L172" s="255">
        <v>40500</v>
      </c>
      <c r="M172" s="255">
        <v>40400</v>
      </c>
    </row>
    <row r="173" spans="1:15" ht="13">
      <c r="B173" s="191" t="s">
        <v>112</v>
      </c>
      <c r="C173" s="194">
        <v>23200</v>
      </c>
      <c r="D173" s="194">
        <v>24200</v>
      </c>
      <c r="E173" s="194">
        <v>24200</v>
      </c>
      <c r="F173" s="194">
        <v>24100</v>
      </c>
      <c r="G173" s="194">
        <v>24200</v>
      </c>
      <c r="H173" s="194">
        <v>24100</v>
      </c>
      <c r="I173" s="267">
        <v>24200</v>
      </c>
      <c r="J173" s="254"/>
      <c r="K173" s="255"/>
      <c r="L173" s="255"/>
      <c r="M173" s="255"/>
    </row>
    <row r="174" spans="1:15" ht="13">
      <c r="B174" s="191" t="s">
        <v>113</v>
      </c>
      <c r="C174" s="194">
        <v>23100</v>
      </c>
      <c r="D174" s="194">
        <v>22900</v>
      </c>
      <c r="E174" s="194">
        <v>22700</v>
      </c>
      <c r="F174" s="194">
        <v>23100</v>
      </c>
      <c r="G174" s="194">
        <v>23500</v>
      </c>
      <c r="H174" s="194">
        <v>23000</v>
      </c>
      <c r="I174" s="267">
        <v>22600</v>
      </c>
      <c r="J174" s="254">
        <v>20700</v>
      </c>
      <c r="K174" s="255">
        <v>21100</v>
      </c>
      <c r="L174" s="255">
        <v>20800</v>
      </c>
      <c r="M174" s="255">
        <v>20900</v>
      </c>
    </row>
    <row r="175" spans="1:15" ht="13">
      <c r="B175" s="191" t="s">
        <v>94</v>
      </c>
      <c r="C175" s="194"/>
      <c r="D175" s="194"/>
      <c r="E175" s="194"/>
      <c r="F175" s="194"/>
      <c r="G175" s="194"/>
      <c r="H175" s="194"/>
      <c r="I175" s="256"/>
      <c r="J175" s="254"/>
      <c r="K175" s="255"/>
      <c r="L175" s="255"/>
      <c r="M175" s="255"/>
    </row>
    <row r="176" spans="1:15" ht="13">
      <c r="B176" s="191"/>
      <c r="C176" s="194"/>
      <c r="D176" s="194"/>
      <c r="E176" s="194"/>
      <c r="F176" s="194"/>
      <c r="G176" s="194"/>
      <c r="H176" s="194"/>
      <c r="I176" s="267"/>
      <c r="J176" s="254"/>
      <c r="K176" s="255"/>
      <c r="L176" s="255"/>
      <c r="M176" s="255"/>
    </row>
    <row r="177" spans="1:15" ht="13">
      <c r="B177" s="193" t="s">
        <v>124</v>
      </c>
      <c r="C177" s="194">
        <v>13400</v>
      </c>
      <c r="D177" s="194">
        <v>12900</v>
      </c>
      <c r="E177" s="194">
        <v>13000</v>
      </c>
      <c r="F177" s="194">
        <v>12800</v>
      </c>
      <c r="G177" s="194">
        <v>13100</v>
      </c>
      <c r="H177" s="194">
        <v>13200</v>
      </c>
      <c r="I177" s="267">
        <v>12800</v>
      </c>
      <c r="J177" s="254">
        <v>13400</v>
      </c>
      <c r="K177" s="255">
        <v>13500</v>
      </c>
      <c r="L177" s="255">
        <v>12900</v>
      </c>
      <c r="M177" s="255">
        <v>12300</v>
      </c>
    </row>
    <row r="178" spans="1:15" ht="13">
      <c r="B178" s="193" t="s">
        <v>125</v>
      </c>
      <c r="C178" s="194">
        <v>11800</v>
      </c>
      <c r="D178" s="194">
        <v>10900</v>
      </c>
      <c r="E178" s="194">
        <v>10500</v>
      </c>
      <c r="F178" s="194">
        <v>11100</v>
      </c>
      <c r="G178" s="194">
        <v>10900</v>
      </c>
      <c r="H178" s="194">
        <v>11000</v>
      </c>
      <c r="I178" s="267">
        <v>10900</v>
      </c>
      <c r="J178" s="254">
        <v>12000</v>
      </c>
      <c r="K178" s="255">
        <v>12100</v>
      </c>
      <c r="L178" s="255">
        <v>10900</v>
      </c>
      <c r="M178" s="255">
        <v>10400</v>
      </c>
    </row>
    <row r="179" spans="1:15" ht="13">
      <c r="B179" s="191" t="s">
        <v>114</v>
      </c>
      <c r="C179" s="194">
        <v>25700</v>
      </c>
      <c r="D179" s="194">
        <v>24100</v>
      </c>
      <c r="E179" s="194">
        <v>24100</v>
      </c>
      <c r="F179" s="194">
        <v>25800</v>
      </c>
      <c r="G179" s="194">
        <v>24700</v>
      </c>
      <c r="H179" s="194">
        <v>25200</v>
      </c>
      <c r="I179" s="267">
        <v>24100</v>
      </c>
      <c r="J179" s="254">
        <v>33500</v>
      </c>
      <c r="K179" s="255">
        <v>33600</v>
      </c>
      <c r="L179" s="255">
        <v>33300</v>
      </c>
      <c r="M179" s="255">
        <v>33300</v>
      </c>
    </row>
    <row r="180" spans="1:15" ht="13">
      <c r="B180" s="192" t="s">
        <v>115</v>
      </c>
      <c r="C180" s="194">
        <v>19700</v>
      </c>
      <c r="D180" s="194">
        <v>19600</v>
      </c>
      <c r="E180" s="194">
        <v>19600</v>
      </c>
      <c r="F180" s="194">
        <v>19600</v>
      </c>
      <c r="G180" s="194">
        <v>19600</v>
      </c>
      <c r="H180" s="194">
        <v>19600</v>
      </c>
      <c r="I180" s="267">
        <v>19600</v>
      </c>
      <c r="J180" s="254">
        <v>22200</v>
      </c>
      <c r="K180" s="255">
        <v>23200</v>
      </c>
      <c r="L180" s="255">
        <v>22200</v>
      </c>
      <c r="M180" s="255">
        <v>21800</v>
      </c>
    </row>
    <row r="181" spans="1:15" ht="13">
      <c r="B181" s="192"/>
      <c r="C181" s="194"/>
      <c r="D181" s="194"/>
      <c r="E181" s="194"/>
      <c r="F181" s="194"/>
      <c r="G181" s="194"/>
      <c r="H181" s="194"/>
      <c r="I181" s="267"/>
      <c r="J181" s="254"/>
      <c r="K181" s="255"/>
      <c r="L181" s="255"/>
      <c r="M181" s="255"/>
    </row>
    <row r="182" spans="1:15" ht="13">
      <c r="B182" s="192" t="s">
        <v>126</v>
      </c>
      <c r="C182" s="194">
        <v>19400</v>
      </c>
      <c r="D182" s="194">
        <v>20500</v>
      </c>
      <c r="E182" s="194">
        <v>19500</v>
      </c>
      <c r="F182" s="194">
        <v>21000</v>
      </c>
      <c r="G182" s="194">
        <v>19700</v>
      </c>
      <c r="H182" s="194">
        <v>20300</v>
      </c>
      <c r="I182" s="267">
        <v>19100</v>
      </c>
      <c r="J182" s="254">
        <v>18300</v>
      </c>
      <c r="K182" s="255">
        <v>19600</v>
      </c>
      <c r="L182" s="255">
        <v>19900</v>
      </c>
      <c r="M182" s="255">
        <v>20300</v>
      </c>
    </row>
    <row r="183" spans="1:15" ht="13">
      <c r="B183" s="192" t="s">
        <v>127</v>
      </c>
      <c r="C183" s="194">
        <v>19000</v>
      </c>
      <c r="D183" s="194">
        <v>18200</v>
      </c>
      <c r="E183" s="194">
        <v>17400</v>
      </c>
      <c r="F183" s="194">
        <v>17600</v>
      </c>
      <c r="G183" s="194">
        <v>17400</v>
      </c>
      <c r="H183" s="194">
        <v>17800</v>
      </c>
      <c r="I183" s="267">
        <v>17300</v>
      </c>
      <c r="J183" s="254">
        <v>17100</v>
      </c>
      <c r="K183" s="255">
        <v>17900</v>
      </c>
      <c r="L183" s="255">
        <v>17600</v>
      </c>
      <c r="M183" s="255">
        <v>18000</v>
      </c>
    </row>
    <row r="184" spans="1:15" ht="13">
      <c r="B184" s="192"/>
      <c r="C184" s="194"/>
      <c r="D184" s="194"/>
      <c r="E184" s="194"/>
      <c r="F184" s="194"/>
      <c r="G184" s="194"/>
      <c r="H184" s="194"/>
      <c r="I184" s="267"/>
      <c r="J184" s="254"/>
      <c r="K184" s="255"/>
      <c r="L184" s="255"/>
      <c r="M184" s="255"/>
    </row>
    <row r="185" spans="1:15" ht="13">
      <c r="B185" s="192" t="s">
        <v>158</v>
      </c>
      <c r="C185" s="194">
        <v>19000</v>
      </c>
      <c r="D185" s="194">
        <v>20200</v>
      </c>
      <c r="E185" s="194">
        <v>19700</v>
      </c>
      <c r="F185" s="194">
        <v>20500</v>
      </c>
      <c r="G185" s="194">
        <v>19400</v>
      </c>
      <c r="H185" s="194">
        <v>20200</v>
      </c>
      <c r="I185" s="267">
        <v>20300</v>
      </c>
      <c r="J185" s="254">
        <v>19400</v>
      </c>
      <c r="K185" s="255">
        <v>19800</v>
      </c>
      <c r="L185" s="255">
        <v>18900</v>
      </c>
      <c r="M185" s="255">
        <v>18900</v>
      </c>
    </row>
    <row r="186" spans="1:15" ht="13">
      <c r="B186" s="192"/>
      <c r="C186" s="194"/>
      <c r="D186" s="194"/>
      <c r="E186" s="194"/>
      <c r="F186" s="194"/>
      <c r="G186" s="194"/>
      <c r="H186" s="194"/>
      <c r="I186" s="267"/>
      <c r="J186" s="254"/>
      <c r="K186" s="255"/>
      <c r="L186" s="255"/>
      <c r="M186" s="255"/>
    </row>
    <row r="187" spans="1:15" ht="13">
      <c r="B187" s="192"/>
      <c r="C187" s="194"/>
      <c r="D187" s="194"/>
      <c r="E187" s="194"/>
      <c r="F187" s="194"/>
      <c r="G187" s="194"/>
      <c r="H187" s="194"/>
      <c r="I187" s="267"/>
      <c r="J187" s="254"/>
      <c r="K187" s="255"/>
      <c r="L187" s="255"/>
      <c r="M187" s="255"/>
    </row>
    <row r="188" spans="1:15" ht="13">
      <c r="B188" s="303"/>
      <c r="C188" s="190"/>
      <c r="D188" s="190"/>
      <c r="E188" s="190"/>
      <c r="F188" s="190"/>
      <c r="G188" s="190"/>
      <c r="H188" s="190"/>
      <c r="I188" s="190"/>
      <c r="J188" s="304"/>
      <c r="K188" s="304"/>
      <c r="L188" s="304"/>
      <c r="M188" s="304"/>
    </row>
    <row r="189" spans="1:15" ht="14.5" customHeight="1">
      <c r="A189" s="188" t="s">
        <v>157</v>
      </c>
      <c r="B189" s="189"/>
      <c r="C189" s="189"/>
      <c r="D189" s="189"/>
      <c r="E189" s="189"/>
      <c r="F189" s="189"/>
      <c r="G189" s="189"/>
      <c r="H189" s="189"/>
      <c r="I189" s="189"/>
      <c r="J189" s="189"/>
      <c r="K189" s="189"/>
      <c r="L189" s="189"/>
      <c r="M189" s="189"/>
      <c r="N189" s="189"/>
      <c r="O189" s="189"/>
    </row>
    <row r="190" spans="1:15" ht="14.5" customHeight="1">
      <c r="A190" s="189"/>
      <c r="B190" s="189"/>
      <c r="C190" s="207" t="s">
        <v>103</v>
      </c>
      <c r="D190" s="207" t="s">
        <v>104</v>
      </c>
      <c r="E190" s="207" t="s">
        <v>105</v>
      </c>
      <c r="F190" s="207" t="s">
        <v>107</v>
      </c>
      <c r="G190" s="207" t="s">
        <v>108</v>
      </c>
      <c r="H190" s="207" t="s">
        <v>109</v>
      </c>
      <c r="I190" s="266" t="s">
        <v>110</v>
      </c>
      <c r="J190" s="251" t="s">
        <v>147</v>
      </c>
      <c r="K190" s="252" t="s">
        <v>148</v>
      </c>
      <c r="L190" s="252" t="s">
        <v>149</v>
      </c>
      <c r="M190" s="252" t="s">
        <v>150</v>
      </c>
      <c r="N190" s="189"/>
      <c r="O190" s="189"/>
    </row>
    <row r="191" spans="1:15" ht="14.5" customHeight="1">
      <c r="A191" s="189"/>
      <c r="B191" s="191" t="s">
        <v>102</v>
      </c>
      <c r="C191" s="194">
        <v>16500</v>
      </c>
      <c r="D191" s="194">
        <v>17600</v>
      </c>
      <c r="E191" s="194">
        <v>18400</v>
      </c>
      <c r="F191" s="194">
        <v>18000</v>
      </c>
      <c r="G191" s="194">
        <v>18200</v>
      </c>
      <c r="H191" s="194">
        <v>18100</v>
      </c>
      <c r="I191" s="267">
        <v>18300</v>
      </c>
      <c r="J191" s="253">
        <v>17800</v>
      </c>
      <c r="K191" s="194">
        <v>18300</v>
      </c>
      <c r="L191" s="194">
        <v>16000</v>
      </c>
      <c r="M191" s="194">
        <v>16300</v>
      </c>
      <c r="N191" s="189"/>
      <c r="O191" s="189"/>
    </row>
    <row r="192" spans="1:15" ht="13">
      <c r="B192" s="191" t="s">
        <v>106</v>
      </c>
      <c r="C192" s="194">
        <v>12500</v>
      </c>
      <c r="D192" s="194">
        <v>13400</v>
      </c>
      <c r="E192" s="194">
        <v>12600</v>
      </c>
      <c r="F192" s="194">
        <v>12500</v>
      </c>
      <c r="G192" s="194">
        <v>12000</v>
      </c>
      <c r="H192" s="194">
        <v>13300</v>
      </c>
      <c r="I192" s="267">
        <v>12500</v>
      </c>
      <c r="J192" s="254">
        <v>13400</v>
      </c>
      <c r="K192" s="255">
        <v>13400</v>
      </c>
      <c r="L192" s="255">
        <v>13000</v>
      </c>
      <c r="M192" s="255">
        <v>13800</v>
      </c>
    </row>
    <row r="193" spans="2:13" ht="13">
      <c r="B193" s="191" t="s">
        <v>111</v>
      </c>
      <c r="C193" s="194">
        <v>31200</v>
      </c>
      <c r="D193" s="194">
        <v>31400</v>
      </c>
      <c r="E193" s="194">
        <v>31000</v>
      </c>
      <c r="F193" s="194">
        <v>31800</v>
      </c>
      <c r="G193" s="194">
        <v>32600</v>
      </c>
      <c r="H193" s="194">
        <v>31100</v>
      </c>
      <c r="I193" s="267">
        <v>31100</v>
      </c>
      <c r="J193" s="254">
        <v>40100</v>
      </c>
      <c r="K193" s="255">
        <v>40700</v>
      </c>
      <c r="L193" s="255">
        <v>40500</v>
      </c>
      <c r="M193" s="255">
        <v>40400</v>
      </c>
    </row>
    <row r="194" spans="2:13" ht="13">
      <c r="B194" s="191" t="s">
        <v>112</v>
      </c>
      <c r="C194" s="194">
        <v>22600</v>
      </c>
      <c r="D194" s="194">
        <v>23500</v>
      </c>
      <c r="E194" s="194">
        <v>23500</v>
      </c>
      <c r="F194" s="194">
        <v>23500</v>
      </c>
      <c r="G194" s="194">
        <v>23500</v>
      </c>
      <c r="H194" s="194">
        <v>23500</v>
      </c>
      <c r="I194" s="267">
        <v>23500</v>
      </c>
      <c r="J194" s="254"/>
      <c r="K194" s="255"/>
      <c r="L194" s="255"/>
      <c r="M194" s="255"/>
    </row>
    <row r="195" spans="2:13" ht="13">
      <c r="B195" s="191" t="s">
        <v>113</v>
      </c>
      <c r="C195" s="194">
        <v>22500</v>
      </c>
      <c r="D195" s="194">
        <v>22300</v>
      </c>
      <c r="E195" s="194">
        <v>22100</v>
      </c>
      <c r="F195" s="194">
        <v>22500</v>
      </c>
      <c r="G195" s="194">
        <v>22900</v>
      </c>
      <c r="H195" s="194">
        <v>22400</v>
      </c>
      <c r="I195" s="267">
        <v>22000</v>
      </c>
      <c r="J195" s="254">
        <v>20700</v>
      </c>
      <c r="K195" s="255">
        <v>21100</v>
      </c>
      <c r="L195" s="255">
        <v>20800</v>
      </c>
      <c r="M195" s="255">
        <v>20900</v>
      </c>
    </row>
    <row r="196" spans="2:13" ht="13">
      <c r="B196" s="191" t="s">
        <v>94</v>
      </c>
      <c r="C196" s="194"/>
      <c r="D196" s="194"/>
      <c r="E196" s="194"/>
      <c r="F196" s="194"/>
      <c r="G196" s="194">
        <v>32600</v>
      </c>
      <c r="H196" s="194"/>
      <c r="I196" s="267">
        <v>31100</v>
      </c>
      <c r="J196" s="254"/>
      <c r="K196" s="255"/>
      <c r="L196" s="255"/>
      <c r="M196" s="255"/>
    </row>
    <row r="197" spans="2:13" ht="13">
      <c r="B197" s="191"/>
      <c r="C197" s="194"/>
      <c r="D197" s="194"/>
      <c r="E197" s="194"/>
      <c r="F197" s="194"/>
      <c r="G197" s="194"/>
      <c r="H197" s="194"/>
      <c r="I197" s="267"/>
      <c r="J197" s="254"/>
      <c r="K197" s="255"/>
      <c r="L197" s="255"/>
      <c r="M197" s="255"/>
    </row>
    <row r="198" spans="2:13" ht="13">
      <c r="B198" s="193" t="s">
        <v>124</v>
      </c>
      <c r="C198" s="194">
        <v>12800</v>
      </c>
      <c r="D198" s="194">
        <v>12300</v>
      </c>
      <c r="E198" s="194">
        <v>12400</v>
      </c>
      <c r="F198" s="194">
        <v>12200</v>
      </c>
      <c r="G198" s="194">
        <v>12500</v>
      </c>
      <c r="H198" s="194">
        <v>12600</v>
      </c>
      <c r="I198" s="267">
        <v>12200</v>
      </c>
      <c r="J198" s="254">
        <v>12900</v>
      </c>
      <c r="K198" s="255">
        <v>13000</v>
      </c>
      <c r="L198" s="255">
        <v>12400</v>
      </c>
      <c r="M198" s="255">
        <v>11800</v>
      </c>
    </row>
    <row r="199" spans="2:13" ht="13">
      <c r="B199" s="193" t="s">
        <v>125</v>
      </c>
      <c r="C199" s="194">
        <v>11200</v>
      </c>
      <c r="D199" s="194">
        <v>10400</v>
      </c>
      <c r="E199" s="194">
        <v>10000</v>
      </c>
      <c r="F199" s="194">
        <v>10600</v>
      </c>
      <c r="G199" s="194">
        <v>10400</v>
      </c>
      <c r="H199" s="194">
        <v>10500</v>
      </c>
      <c r="I199" s="267">
        <v>10400</v>
      </c>
      <c r="J199" s="254">
        <v>11500</v>
      </c>
      <c r="K199" s="255">
        <v>11600</v>
      </c>
      <c r="L199" s="255">
        <v>10500</v>
      </c>
      <c r="M199" s="255">
        <v>10000</v>
      </c>
    </row>
    <row r="200" spans="2:13" ht="13">
      <c r="B200" s="191" t="s">
        <v>114</v>
      </c>
      <c r="C200" s="194">
        <v>25400</v>
      </c>
      <c r="D200" s="194">
        <v>23800</v>
      </c>
      <c r="E200" s="194">
        <v>23800</v>
      </c>
      <c r="F200" s="194">
        <v>25500</v>
      </c>
      <c r="G200" s="194">
        <v>24400</v>
      </c>
      <c r="H200" s="194">
        <v>24900</v>
      </c>
      <c r="I200" s="267">
        <v>23800</v>
      </c>
      <c r="J200" s="254">
        <v>33800</v>
      </c>
      <c r="K200" s="255">
        <v>33900</v>
      </c>
      <c r="L200" s="255">
        <v>33600</v>
      </c>
      <c r="M200" s="255">
        <v>33600</v>
      </c>
    </row>
    <row r="201" spans="2:13" ht="13">
      <c r="B201" s="192" t="s">
        <v>115</v>
      </c>
      <c r="C201" s="194">
        <v>19400</v>
      </c>
      <c r="D201" s="194">
        <v>19400</v>
      </c>
      <c r="E201" s="194">
        <v>19400</v>
      </c>
      <c r="F201" s="194">
        <v>19400</v>
      </c>
      <c r="G201" s="194">
        <v>19400</v>
      </c>
      <c r="H201" s="194">
        <v>19400</v>
      </c>
      <c r="I201" s="267">
        <v>19400</v>
      </c>
      <c r="J201" s="254">
        <v>22400</v>
      </c>
      <c r="K201" s="255">
        <v>23400</v>
      </c>
      <c r="L201" s="255">
        <v>22400</v>
      </c>
      <c r="M201" s="255">
        <v>22000</v>
      </c>
    </row>
    <row r="202" spans="2:13" ht="13">
      <c r="B202" s="192"/>
      <c r="C202" s="194"/>
      <c r="D202" s="194"/>
      <c r="E202" s="194"/>
      <c r="F202" s="194"/>
      <c r="G202" s="194"/>
      <c r="H202" s="194"/>
      <c r="I202" s="267"/>
      <c r="J202" s="254"/>
      <c r="K202" s="255"/>
      <c r="L202" s="255"/>
      <c r="M202" s="255"/>
    </row>
    <row r="203" spans="2:13" ht="13">
      <c r="B203" s="192" t="s">
        <v>126</v>
      </c>
      <c r="C203" s="194">
        <v>18700</v>
      </c>
      <c r="D203" s="194">
        <v>19800</v>
      </c>
      <c r="E203" s="194">
        <v>18800</v>
      </c>
      <c r="F203" s="194">
        <v>20200</v>
      </c>
      <c r="G203" s="194">
        <v>19000</v>
      </c>
      <c r="H203" s="194">
        <v>19600</v>
      </c>
      <c r="I203" s="267">
        <v>18400</v>
      </c>
      <c r="J203" s="254">
        <v>17800</v>
      </c>
      <c r="K203" s="255">
        <v>19100</v>
      </c>
      <c r="L203" s="255">
        <v>19400</v>
      </c>
      <c r="M203" s="255">
        <v>19800</v>
      </c>
    </row>
    <row r="204" spans="2:13" ht="13">
      <c r="B204" s="192" t="s">
        <v>127</v>
      </c>
      <c r="C204" s="194">
        <v>18300</v>
      </c>
      <c r="D204" s="194">
        <v>17500</v>
      </c>
      <c r="E204" s="194">
        <v>16800</v>
      </c>
      <c r="F204" s="194">
        <v>17000</v>
      </c>
      <c r="G204" s="194">
        <v>16800</v>
      </c>
      <c r="H204" s="194">
        <v>17200</v>
      </c>
      <c r="I204" s="267">
        <v>16700</v>
      </c>
      <c r="J204" s="254">
        <v>16700</v>
      </c>
      <c r="K204" s="255">
        <v>17500</v>
      </c>
      <c r="L204" s="255">
        <v>17200</v>
      </c>
      <c r="M204" s="255">
        <v>17600</v>
      </c>
    </row>
    <row r="205" spans="2:13" ht="13">
      <c r="B205" s="192"/>
      <c r="C205" s="194"/>
      <c r="D205" s="194"/>
      <c r="E205" s="194"/>
      <c r="F205" s="194"/>
      <c r="G205" s="194"/>
      <c r="H205" s="194"/>
      <c r="I205" s="267"/>
      <c r="J205" s="254"/>
      <c r="K205" s="255"/>
      <c r="L205" s="255"/>
      <c r="M205" s="255"/>
    </row>
    <row r="206" spans="2:13" ht="13">
      <c r="B206" s="192" t="s">
        <v>158</v>
      </c>
      <c r="C206" s="194">
        <v>18800</v>
      </c>
      <c r="D206" s="194">
        <v>20000</v>
      </c>
      <c r="E206" s="194">
        <v>19500</v>
      </c>
      <c r="F206" s="194">
        <v>20300</v>
      </c>
      <c r="G206" s="194">
        <v>19200</v>
      </c>
      <c r="H206" s="194">
        <v>20000</v>
      </c>
      <c r="I206" s="267">
        <v>20100</v>
      </c>
      <c r="J206" s="254">
        <v>18800</v>
      </c>
      <c r="K206" s="255">
        <v>19200</v>
      </c>
      <c r="L206" s="255">
        <v>18300</v>
      </c>
      <c r="M206" s="255">
        <v>18300</v>
      </c>
    </row>
    <row r="207" spans="2:13" ht="13">
      <c r="B207" s="192"/>
      <c r="C207" s="194"/>
      <c r="D207" s="194"/>
      <c r="E207" s="194"/>
      <c r="F207" s="194"/>
      <c r="G207" s="194"/>
      <c r="H207" s="194"/>
      <c r="I207" s="267"/>
      <c r="J207" s="254"/>
      <c r="K207" s="255"/>
      <c r="L207" s="255"/>
      <c r="M207" s="255"/>
    </row>
    <row r="208" spans="2:13" ht="13">
      <c r="B208" s="192"/>
      <c r="C208" s="194"/>
      <c r="D208" s="194"/>
      <c r="E208" s="194"/>
      <c r="F208" s="194"/>
      <c r="G208" s="194"/>
      <c r="H208" s="194"/>
      <c r="I208" s="267"/>
      <c r="J208" s="254"/>
      <c r="K208" s="255"/>
      <c r="L208" s="255"/>
      <c r="M208" s="255"/>
    </row>
    <row r="210" spans="1:15" ht="14.5" customHeight="1">
      <c r="A210" s="188" t="s">
        <v>156</v>
      </c>
      <c r="B210" s="189"/>
      <c r="C210" s="189"/>
      <c r="D210" s="189"/>
      <c r="E210" s="189"/>
      <c r="F210" s="189"/>
      <c r="G210" s="189"/>
      <c r="H210" s="189"/>
      <c r="I210" s="189"/>
      <c r="J210" s="189"/>
      <c r="K210" s="189"/>
      <c r="L210" s="189"/>
      <c r="M210" s="189"/>
      <c r="N210" s="189"/>
      <c r="O210" s="189"/>
    </row>
    <row r="211" spans="1:15" ht="14.5" customHeight="1">
      <c r="A211" s="189"/>
      <c r="B211" s="189"/>
      <c r="C211" s="207" t="s">
        <v>103</v>
      </c>
      <c r="D211" s="207" t="s">
        <v>104</v>
      </c>
      <c r="E211" s="207" t="s">
        <v>105</v>
      </c>
      <c r="F211" s="207" t="s">
        <v>107</v>
      </c>
      <c r="G211" s="207" t="s">
        <v>108</v>
      </c>
      <c r="H211" s="207" t="s">
        <v>109</v>
      </c>
      <c r="I211" s="266" t="s">
        <v>110</v>
      </c>
      <c r="J211" s="251" t="s">
        <v>147</v>
      </c>
      <c r="K211" s="252" t="s">
        <v>148</v>
      </c>
      <c r="L211" s="252" t="s">
        <v>149</v>
      </c>
      <c r="M211" s="252" t="s">
        <v>150</v>
      </c>
      <c r="N211" s="189"/>
      <c r="O211" s="189"/>
    </row>
    <row r="212" spans="1:15" ht="14.5" customHeight="1">
      <c r="A212" s="189"/>
      <c r="B212" s="191" t="s">
        <v>102</v>
      </c>
      <c r="C212" s="194">
        <v>16200</v>
      </c>
      <c r="D212" s="194">
        <v>17300</v>
      </c>
      <c r="E212" s="194">
        <v>18100</v>
      </c>
      <c r="F212" s="194">
        <v>17700</v>
      </c>
      <c r="G212" s="194">
        <v>17900</v>
      </c>
      <c r="H212" s="194">
        <v>17800</v>
      </c>
      <c r="I212" s="267">
        <v>18000</v>
      </c>
      <c r="J212" s="253">
        <v>17400</v>
      </c>
      <c r="K212" s="194">
        <v>17900</v>
      </c>
      <c r="L212" s="194">
        <v>15700</v>
      </c>
      <c r="M212" s="194">
        <v>16000</v>
      </c>
      <c r="N212" s="189"/>
      <c r="O212" s="189"/>
    </row>
    <row r="213" spans="1:15" ht="13">
      <c r="B213" s="191" t="s">
        <v>106</v>
      </c>
      <c r="C213" s="194">
        <v>12300</v>
      </c>
      <c r="D213" s="194">
        <v>13200</v>
      </c>
      <c r="E213" s="194">
        <v>12400</v>
      </c>
      <c r="F213" s="194">
        <v>12300</v>
      </c>
      <c r="G213" s="194">
        <v>11800</v>
      </c>
      <c r="H213" s="194">
        <v>13100</v>
      </c>
      <c r="I213" s="267">
        <v>12300</v>
      </c>
      <c r="J213" s="254">
        <v>13100</v>
      </c>
      <c r="K213" s="255">
        <v>13100</v>
      </c>
      <c r="L213" s="255">
        <v>12700</v>
      </c>
      <c r="M213" s="255">
        <v>13500</v>
      </c>
    </row>
    <row r="214" spans="1:15" ht="13">
      <c r="B214" s="191" t="s">
        <v>111</v>
      </c>
      <c r="C214" s="194">
        <v>30900</v>
      </c>
      <c r="D214" s="194">
        <v>31200</v>
      </c>
      <c r="E214" s="194">
        <v>30800</v>
      </c>
      <c r="F214" s="194">
        <v>31600</v>
      </c>
      <c r="G214" s="194">
        <v>32400</v>
      </c>
      <c r="H214" s="194">
        <v>30900</v>
      </c>
      <c r="I214" s="267">
        <v>30900</v>
      </c>
      <c r="J214" s="254">
        <v>39400</v>
      </c>
      <c r="K214" s="255">
        <v>40000</v>
      </c>
      <c r="L214" s="255">
        <v>39700</v>
      </c>
      <c r="M214" s="255">
        <v>39600</v>
      </c>
    </row>
    <row r="215" spans="1:15" ht="13">
      <c r="B215" s="191" t="s">
        <v>112</v>
      </c>
      <c r="C215" s="194">
        <v>22400</v>
      </c>
      <c r="D215" s="194">
        <v>23400</v>
      </c>
      <c r="E215" s="194">
        <v>23400</v>
      </c>
      <c r="F215" s="194">
        <v>23400</v>
      </c>
      <c r="G215" s="194">
        <v>23400</v>
      </c>
      <c r="H215" s="194">
        <v>23400</v>
      </c>
      <c r="I215" s="267">
        <v>23400</v>
      </c>
      <c r="J215" s="254"/>
      <c r="K215" s="255"/>
      <c r="L215" s="255"/>
      <c r="M215" s="255"/>
    </row>
    <row r="216" spans="1:15" ht="13">
      <c r="B216" s="191" t="s">
        <v>113</v>
      </c>
      <c r="C216" s="194">
        <v>22300</v>
      </c>
      <c r="D216" s="194">
        <v>22200</v>
      </c>
      <c r="E216" s="194">
        <v>22000</v>
      </c>
      <c r="F216" s="194">
        <v>22400</v>
      </c>
      <c r="G216" s="194">
        <v>22800</v>
      </c>
      <c r="H216" s="194">
        <v>22300</v>
      </c>
      <c r="I216" s="267">
        <v>21900</v>
      </c>
      <c r="J216" s="254">
        <v>20300</v>
      </c>
      <c r="K216" s="255">
        <v>20700</v>
      </c>
      <c r="L216" s="255">
        <v>20400</v>
      </c>
      <c r="M216" s="255">
        <v>20500</v>
      </c>
    </row>
    <row r="217" spans="1:15" ht="13">
      <c r="B217" s="191" t="s">
        <v>94</v>
      </c>
      <c r="C217" s="194"/>
      <c r="D217" s="194"/>
      <c r="E217" s="194"/>
      <c r="F217" s="194"/>
      <c r="G217" s="257"/>
      <c r="H217" s="194"/>
      <c r="I217" s="256"/>
      <c r="J217" s="254"/>
      <c r="K217" s="255"/>
      <c r="L217" s="255"/>
      <c r="M217" s="255"/>
    </row>
    <row r="218" spans="1:15" ht="13">
      <c r="B218" s="191"/>
      <c r="C218" s="194"/>
      <c r="D218" s="194"/>
      <c r="E218" s="194"/>
      <c r="F218" s="194"/>
      <c r="G218" s="194"/>
      <c r="H218" s="194"/>
      <c r="I218" s="267"/>
      <c r="J218" s="254"/>
      <c r="K218" s="255"/>
      <c r="L218" s="255"/>
      <c r="M218" s="255"/>
    </row>
    <row r="219" spans="1:15" ht="13">
      <c r="B219" s="193" t="s">
        <v>124</v>
      </c>
      <c r="C219" s="194">
        <v>12300</v>
      </c>
      <c r="D219" s="194">
        <v>11800</v>
      </c>
      <c r="E219" s="194">
        <v>11900</v>
      </c>
      <c r="F219" s="194">
        <v>11700</v>
      </c>
      <c r="G219" s="194">
        <v>12000</v>
      </c>
      <c r="H219" s="194">
        <v>12100</v>
      </c>
      <c r="I219" s="267">
        <v>11700</v>
      </c>
      <c r="J219" s="254">
        <v>12200</v>
      </c>
      <c r="K219" s="255">
        <v>12300</v>
      </c>
      <c r="L219" s="255">
        <v>11700</v>
      </c>
      <c r="M219" s="255">
        <v>11100</v>
      </c>
    </row>
    <row r="220" spans="1:15" ht="13">
      <c r="B220" s="193" t="s">
        <v>125</v>
      </c>
      <c r="C220" s="194">
        <v>10700</v>
      </c>
      <c r="D220" s="194">
        <v>10000</v>
      </c>
      <c r="E220" s="194">
        <v>9600</v>
      </c>
      <c r="F220" s="194">
        <v>10200</v>
      </c>
      <c r="G220" s="194">
        <v>10000</v>
      </c>
      <c r="H220" s="194">
        <v>10100</v>
      </c>
      <c r="I220" s="267">
        <v>10000</v>
      </c>
      <c r="J220" s="254">
        <v>10900</v>
      </c>
      <c r="K220" s="255">
        <v>11000</v>
      </c>
      <c r="L220" s="255">
        <v>9900</v>
      </c>
      <c r="M220" s="255">
        <v>9400</v>
      </c>
    </row>
    <row r="221" spans="1:15" ht="13">
      <c r="B221" s="191" t="s">
        <v>114</v>
      </c>
      <c r="C221" s="194">
        <v>25000</v>
      </c>
      <c r="D221" s="194">
        <v>23400</v>
      </c>
      <c r="E221" s="194">
        <v>23400</v>
      </c>
      <c r="F221" s="194">
        <v>25100</v>
      </c>
      <c r="G221" s="194">
        <v>24000</v>
      </c>
      <c r="H221" s="194">
        <v>24500</v>
      </c>
      <c r="I221" s="267">
        <v>23400</v>
      </c>
      <c r="J221" s="254">
        <v>33600</v>
      </c>
      <c r="K221" s="255">
        <v>33800</v>
      </c>
      <c r="L221" s="255">
        <v>33400</v>
      </c>
      <c r="M221" s="255">
        <v>33400</v>
      </c>
    </row>
    <row r="222" spans="1:15" ht="13">
      <c r="B222" s="192" t="s">
        <v>115</v>
      </c>
      <c r="C222" s="194">
        <v>19100</v>
      </c>
      <c r="D222" s="194">
        <v>19100</v>
      </c>
      <c r="E222" s="194">
        <v>19100</v>
      </c>
      <c r="F222" s="194">
        <v>19100</v>
      </c>
      <c r="G222" s="194">
        <v>19100</v>
      </c>
      <c r="H222" s="194">
        <v>19100</v>
      </c>
      <c r="I222" s="267">
        <v>19100</v>
      </c>
      <c r="J222" s="254">
        <v>22300</v>
      </c>
      <c r="K222" s="255">
        <v>23300</v>
      </c>
      <c r="L222" s="255">
        <v>22300</v>
      </c>
      <c r="M222" s="255">
        <v>21900</v>
      </c>
    </row>
    <row r="223" spans="1:15" ht="13">
      <c r="B223" s="192"/>
      <c r="C223" s="194"/>
      <c r="D223" s="194"/>
      <c r="E223" s="194"/>
      <c r="F223" s="194"/>
      <c r="G223" s="194"/>
      <c r="H223" s="194"/>
      <c r="I223" s="267"/>
      <c r="J223" s="254"/>
      <c r="K223" s="255"/>
      <c r="L223" s="255"/>
      <c r="M223" s="255"/>
    </row>
    <row r="224" spans="1:15" ht="13">
      <c r="B224" s="192" t="s">
        <v>126</v>
      </c>
      <c r="C224" s="194">
        <v>18300</v>
      </c>
      <c r="D224" s="194">
        <v>19500</v>
      </c>
      <c r="E224" s="194">
        <v>18500</v>
      </c>
      <c r="F224" s="194">
        <v>19900</v>
      </c>
      <c r="G224" s="194">
        <v>18700</v>
      </c>
      <c r="H224" s="194">
        <v>19300</v>
      </c>
      <c r="I224" s="267">
        <v>18100</v>
      </c>
      <c r="J224" s="254">
        <v>17400</v>
      </c>
      <c r="K224" s="255">
        <v>18700</v>
      </c>
      <c r="L224" s="255">
        <v>19000</v>
      </c>
      <c r="M224" s="255">
        <v>19400</v>
      </c>
    </row>
    <row r="225" spans="1:15" ht="13">
      <c r="B225" s="192" t="s">
        <v>127</v>
      </c>
      <c r="C225" s="194">
        <v>17900</v>
      </c>
      <c r="D225" s="194">
        <v>17200</v>
      </c>
      <c r="E225" s="194">
        <v>16500</v>
      </c>
      <c r="F225" s="194">
        <v>16700</v>
      </c>
      <c r="G225" s="194">
        <v>16500</v>
      </c>
      <c r="H225" s="194">
        <v>16900</v>
      </c>
      <c r="I225" s="267">
        <v>16400</v>
      </c>
      <c r="J225" s="254">
        <v>16400</v>
      </c>
      <c r="K225" s="255">
        <v>17200</v>
      </c>
      <c r="L225" s="255">
        <v>16800</v>
      </c>
      <c r="M225" s="255">
        <v>17200</v>
      </c>
    </row>
    <row r="226" spans="1:15" ht="13">
      <c r="B226" s="192"/>
      <c r="C226" s="194"/>
      <c r="D226" s="194"/>
      <c r="E226" s="194"/>
      <c r="F226" s="194"/>
      <c r="G226" s="194"/>
      <c r="H226" s="194"/>
      <c r="I226" s="267"/>
      <c r="J226" s="254"/>
      <c r="K226" s="255"/>
      <c r="L226" s="255"/>
      <c r="M226" s="255"/>
    </row>
    <row r="228" spans="1:15" ht="14.5" customHeight="1">
      <c r="A228" s="188" t="s">
        <v>155</v>
      </c>
      <c r="B228" s="189"/>
      <c r="C228" s="189"/>
      <c r="D228" s="189"/>
      <c r="E228" s="189"/>
      <c r="F228" s="189"/>
      <c r="G228" s="189"/>
      <c r="H228" s="189"/>
      <c r="I228" s="189"/>
      <c r="J228" s="189"/>
      <c r="K228" s="189"/>
      <c r="L228" s="189"/>
      <c r="M228" s="189"/>
      <c r="N228" s="189"/>
      <c r="O228" s="189"/>
    </row>
    <row r="229" spans="1:15" ht="14.5" customHeight="1">
      <c r="A229" s="189"/>
      <c r="B229" s="189"/>
      <c r="C229" s="207" t="s">
        <v>103</v>
      </c>
      <c r="D229" s="207" t="s">
        <v>104</v>
      </c>
      <c r="E229" s="207" t="s">
        <v>105</v>
      </c>
      <c r="F229" s="207" t="s">
        <v>107</v>
      </c>
      <c r="G229" s="207" t="s">
        <v>108</v>
      </c>
      <c r="H229" s="207" t="s">
        <v>109</v>
      </c>
      <c r="I229" s="266" t="s">
        <v>110</v>
      </c>
      <c r="J229" s="251" t="s">
        <v>147</v>
      </c>
      <c r="K229" s="252" t="s">
        <v>148</v>
      </c>
      <c r="L229" s="252" t="s">
        <v>149</v>
      </c>
      <c r="M229" s="252" t="s">
        <v>150</v>
      </c>
      <c r="N229" s="189"/>
      <c r="O229" s="189"/>
    </row>
    <row r="230" spans="1:15" ht="14.5" customHeight="1">
      <c r="A230" s="189"/>
      <c r="B230" s="191" t="s">
        <v>102</v>
      </c>
      <c r="C230" s="194">
        <v>16300</v>
      </c>
      <c r="D230" s="194">
        <v>17400</v>
      </c>
      <c r="E230" s="194">
        <v>18200</v>
      </c>
      <c r="F230" s="194">
        <v>17800</v>
      </c>
      <c r="G230" s="194">
        <v>18000</v>
      </c>
      <c r="H230" s="194">
        <v>17900</v>
      </c>
      <c r="I230" s="267">
        <v>18100</v>
      </c>
      <c r="J230" s="253">
        <v>17100</v>
      </c>
      <c r="K230" s="194">
        <v>17600</v>
      </c>
      <c r="L230" s="194">
        <v>15500</v>
      </c>
      <c r="M230" s="194">
        <v>15800</v>
      </c>
      <c r="N230" s="189"/>
      <c r="O230" s="189"/>
    </row>
    <row r="231" spans="1:15" ht="13">
      <c r="B231" s="191" t="s">
        <v>106</v>
      </c>
      <c r="C231" s="194">
        <v>12300</v>
      </c>
      <c r="D231" s="194">
        <v>13200</v>
      </c>
      <c r="E231" s="194">
        <v>12400</v>
      </c>
      <c r="F231" s="194">
        <v>12300</v>
      </c>
      <c r="G231" s="194">
        <v>11800</v>
      </c>
      <c r="H231" s="194">
        <v>13100</v>
      </c>
      <c r="I231" s="267">
        <v>12300</v>
      </c>
      <c r="J231" s="254">
        <v>12900</v>
      </c>
      <c r="K231" s="255">
        <v>12900</v>
      </c>
      <c r="L231" s="255">
        <v>12500</v>
      </c>
      <c r="M231" s="255">
        <v>13300</v>
      </c>
    </row>
    <row r="232" spans="1:15" ht="13">
      <c r="B232" s="191" t="s">
        <v>111</v>
      </c>
      <c r="C232" s="194">
        <v>30200</v>
      </c>
      <c r="D232" s="194">
        <v>30500</v>
      </c>
      <c r="E232" s="194">
        <v>30200</v>
      </c>
      <c r="F232" s="194">
        <v>30900</v>
      </c>
      <c r="G232" s="194">
        <v>31700</v>
      </c>
      <c r="H232" s="194">
        <v>30200</v>
      </c>
      <c r="I232" s="267">
        <v>30200</v>
      </c>
      <c r="J232" s="254">
        <v>37900</v>
      </c>
      <c r="K232" s="255">
        <v>38500</v>
      </c>
      <c r="L232" s="255">
        <v>38200</v>
      </c>
      <c r="M232" s="255">
        <v>38100</v>
      </c>
    </row>
    <row r="233" spans="1:15" ht="13">
      <c r="B233" s="191" t="s">
        <v>112</v>
      </c>
      <c r="C233" s="194">
        <v>21900</v>
      </c>
      <c r="D233" s="194"/>
      <c r="E233" s="194"/>
      <c r="F233" s="194"/>
      <c r="G233" s="257">
        <v>24300</v>
      </c>
      <c r="H233" s="194"/>
      <c r="I233" s="256"/>
      <c r="J233" s="254"/>
      <c r="K233" s="255"/>
      <c r="L233" s="255"/>
      <c r="M233" s="255"/>
    </row>
    <row r="234" spans="1:15" ht="13">
      <c r="B234" s="191" t="s">
        <v>113</v>
      </c>
      <c r="C234" s="194">
        <v>21800</v>
      </c>
      <c r="D234" s="194">
        <v>21700</v>
      </c>
      <c r="E234" s="194">
        <v>21500</v>
      </c>
      <c r="F234" s="194">
        <v>21900</v>
      </c>
      <c r="G234" s="194">
        <v>22300</v>
      </c>
      <c r="H234" s="194">
        <v>21800</v>
      </c>
      <c r="I234" s="267">
        <v>21400</v>
      </c>
      <c r="J234" s="254">
        <v>19500</v>
      </c>
      <c r="K234" s="255">
        <v>19900</v>
      </c>
      <c r="L234" s="255">
        <v>19600</v>
      </c>
      <c r="M234" s="255">
        <v>19700</v>
      </c>
    </row>
    <row r="235" spans="1:15" ht="13">
      <c r="B235" s="191" t="s">
        <v>94</v>
      </c>
      <c r="C235" s="194"/>
      <c r="D235" s="194"/>
      <c r="E235" s="194"/>
      <c r="F235" s="194"/>
      <c r="G235" s="257">
        <v>31700</v>
      </c>
      <c r="H235" s="194"/>
      <c r="I235" s="256"/>
      <c r="J235" s="254"/>
      <c r="K235" s="255"/>
      <c r="L235" s="255"/>
      <c r="M235" s="255"/>
    </row>
    <row r="236" spans="1:15" ht="13">
      <c r="B236" s="191"/>
      <c r="C236" s="194"/>
      <c r="D236" s="194"/>
      <c r="E236" s="194"/>
      <c r="F236" s="194"/>
      <c r="G236" s="194"/>
      <c r="H236" s="194"/>
      <c r="I236" s="267"/>
      <c r="J236" s="254"/>
      <c r="K236" s="255"/>
      <c r="L236" s="255"/>
      <c r="M236" s="255"/>
    </row>
    <row r="237" spans="1:15" ht="13">
      <c r="B237" s="193" t="s">
        <v>124</v>
      </c>
      <c r="C237" s="194">
        <v>12000</v>
      </c>
      <c r="D237" s="194">
        <v>11500</v>
      </c>
      <c r="E237" s="194">
        <v>11600</v>
      </c>
      <c r="F237" s="194">
        <v>11400</v>
      </c>
      <c r="G237" s="194">
        <v>11700</v>
      </c>
      <c r="H237" s="194">
        <v>11800</v>
      </c>
      <c r="I237" s="267">
        <v>11400</v>
      </c>
      <c r="J237" s="254">
        <v>11700</v>
      </c>
      <c r="K237" s="255">
        <v>11800</v>
      </c>
      <c r="L237" s="255">
        <v>11200</v>
      </c>
      <c r="M237" s="255">
        <v>10600</v>
      </c>
    </row>
    <row r="238" spans="1:15" ht="13">
      <c r="B238" s="193" t="s">
        <v>125</v>
      </c>
      <c r="C238" s="194">
        <v>10400</v>
      </c>
      <c r="D238" s="194">
        <v>9800</v>
      </c>
      <c r="E238" s="194">
        <v>9400</v>
      </c>
      <c r="F238" s="194">
        <v>10000</v>
      </c>
      <c r="G238" s="194">
        <v>9800</v>
      </c>
      <c r="H238" s="194">
        <v>9900</v>
      </c>
      <c r="I238" s="267">
        <v>9800</v>
      </c>
      <c r="J238" s="254">
        <v>10400</v>
      </c>
      <c r="K238" s="255">
        <v>10500</v>
      </c>
      <c r="L238" s="255">
        <v>9500</v>
      </c>
      <c r="M238" s="255">
        <v>9000</v>
      </c>
    </row>
    <row r="239" spans="1:15" ht="13">
      <c r="B239" s="191" t="s">
        <v>114</v>
      </c>
      <c r="C239" s="194">
        <v>24100</v>
      </c>
      <c r="D239" s="194">
        <v>23000</v>
      </c>
      <c r="E239" s="194">
        <v>23000</v>
      </c>
      <c r="F239" s="194">
        <v>24100</v>
      </c>
      <c r="G239" s="194">
        <v>23600</v>
      </c>
      <c r="H239" s="194">
        <v>24100</v>
      </c>
      <c r="I239" s="267">
        <v>23000</v>
      </c>
      <c r="J239" s="254">
        <v>31100</v>
      </c>
      <c r="K239" s="255">
        <v>31100</v>
      </c>
      <c r="L239" s="255">
        <v>31100</v>
      </c>
      <c r="M239" s="255">
        <v>31100</v>
      </c>
    </row>
    <row r="240" spans="1:15" ht="13">
      <c r="B240" s="192" t="s">
        <v>115</v>
      </c>
      <c r="C240" s="194">
        <v>18800</v>
      </c>
      <c r="D240" s="194">
        <v>18800</v>
      </c>
      <c r="E240" s="194">
        <v>18800</v>
      </c>
      <c r="F240" s="194">
        <v>18800</v>
      </c>
      <c r="G240" s="194">
        <v>18800</v>
      </c>
      <c r="H240" s="194">
        <v>18800</v>
      </c>
      <c r="I240" s="267">
        <v>18800</v>
      </c>
      <c r="J240" s="254">
        <v>20500</v>
      </c>
      <c r="K240" s="255">
        <v>22000</v>
      </c>
      <c r="L240" s="255">
        <v>20500</v>
      </c>
      <c r="M240" s="255">
        <v>20200</v>
      </c>
    </row>
    <row r="241" spans="1:15" ht="13">
      <c r="B241" s="192"/>
      <c r="C241" s="194"/>
      <c r="D241" s="194"/>
      <c r="E241" s="194"/>
      <c r="F241" s="194"/>
      <c r="G241" s="194"/>
      <c r="H241" s="194"/>
      <c r="I241" s="267"/>
      <c r="J241" s="254"/>
      <c r="K241" s="255"/>
      <c r="L241" s="255"/>
      <c r="M241" s="255"/>
    </row>
    <row r="242" spans="1:15" ht="13">
      <c r="B242" s="192" t="s">
        <v>126</v>
      </c>
      <c r="C242" s="194">
        <v>18400</v>
      </c>
      <c r="D242" s="194">
        <v>19600</v>
      </c>
      <c r="E242" s="194">
        <v>18600</v>
      </c>
      <c r="F242" s="194">
        <v>20000</v>
      </c>
      <c r="G242" s="194">
        <v>18800</v>
      </c>
      <c r="H242" s="194">
        <v>19400</v>
      </c>
      <c r="I242" s="267">
        <v>18100</v>
      </c>
      <c r="J242" s="254">
        <v>17100</v>
      </c>
      <c r="K242" s="255">
        <v>18400</v>
      </c>
      <c r="L242" s="255">
        <v>18700</v>
      </c>
      <c r="M242" s="255">
        <v>19100</v>
      </c>
    </row>
    <row r="243" spans="1:15" ht="13">
      <c r="B243" s="192" t="s">
        <v>127</v>
      </c>
      <c r="C243" s="194">
        <v>18000</v>
      </c>
      <c r="D243" s="194">
        <v>17300</v>
      </c>
      <c r="E243" s="194">
        <v>16600</v>
      </c>
      <c r="F243" s="194">
        <v>16800</v>
      </c>
      <c r="G243" s="194">
        <v>16600</v>
      </c>
      <c r="H243" s="194">
        <v>17000</v>
      </c>
      <c r="I243" s="267">
        <v>16400</v>
      </c>
      <c r="J243" s="254">
        <v>16200</v>
      </c>
      <c r="K243" s="255">
        <v>17000</v>
      </c>
      <c r="L243" s="255">
        <v>16600</v>
      </c>
      <c r="M243" s="255">
        <v>16900</v>
      </c>
    </row>
    <row r="244" spans="1:15" ht="13">
      <c r="B244" s="192"/>
      <c r="C244" s="194"/>
      <c r="D244" s="194"/>
      <c r="E244" s="194"/>
      <c r="F244" s="194"/>
      <c r="G244" s="194"/>
      <c r="H244" s="194"/>
      <c r="I244" s="267"/>
      <c r="J244" s="254"/>
      <c r="K244" s="255"/>
      <c r="L244" s="255"/>
      <c r="M244" s="255"/>
    </row>
    <row r="246" spans="1:15" ht="14.5" customHeight="1">
      <c r="A246" s="188" t="s">
        <v>123</v>
      </c>
      <c r="B246" s="189"/>
      <c r="C246" s="189"/>
      <c r="D246" s="189"/>
      <c r="E246" s="189"/>
      <c r="F246" s="189"/>
      <c r="G246" s="189"/>
      <c r="H246" s="189"/>
      <c r="I246" s="189"/>
      <c r="J246" s="189"/>
      <c r="K246" s="189"/>
      <c r="L246" s="189"/>
      <c r="M246" s="189"/>
      <c r="N246" s="189"/>
      <c r="O246" s="189"/>
    </row>
    <row r="247" spans="1:15" ht="14.5" customHeight="1">
      <c r="A247" s="189"/>
      <c r="B247" s="189"/>
      <c r="C247" s="207" t="s">
        <v>103</v>
      </c>
      <c r="D247" s="207" t="s">
        <v>104</v>
      </c>
      <c r="E247" s="207" t="s">
        <v>105</v>
      </c>
      <c r="F247" s="207" t="s">
        <v>107</v>
      </c>
      <c r="G247" s="207" t="s">
        <v>108</v>
      </c>
      <c r="H247" s="207" t="s">
        <v>109</v>
      </c>
      <c r="I247" s="266" t="s">
        <v>110</v>
      </c>
      <c r="J247" s="251" t="s">
        <v>147</v>
      </c>
      <c r="K247" s="252" t="s">
        <v>148</v>
      </c>
      <c r="L247" s="252" t="s">
        <v>149</v>
      </c>
      <c r="M247" s="252" t="s">
        <v>150</v>
      </c>
      <c r="N247" s="189"/>
      <c r="O247" s="189"/>
    </row>
    <row r="248" spans="1:15" ht="14.5" customHeight="1">
      <c r="A248" s="189"/>
      <c r="B248" s="191" t="s">
        <v>102</v>
      </c>
      <c r="C248" s="194">
        <v>15200</v>
      </c>
      <c r="D248" s="194">
        <v>16000</v>
      </c>
      <c r="E248" s="194">
        <v>16700</v>
      </c>
      <c r="F248" s="194">
        <v>16400</v>
      </c>
      <c r="G248" s="194">
        <v>16600</v>
      </c>
      <c r="H248" s="194">
        <v>16800</v>
      </c>
      <c r="I248" s="267">
        <v>16600</v>
      </c>
      <c r="J248" s="253">
        <v>15500</v>
      </c>
      <c r="K248" s="194">
        <v>16400</v>
      </c>
      <c r="L248" s="194">
        <v>14300</v>
      </c>
      <c r="M248" s="194">
        <v>14700</v>
      </c>
      <c r="N248" s="189"/>
      <c r="O248" s="189"/>
    </row>
    <row r="249" spans="1:15" ht="13">
      <c r="B249" s="191" t="s">
        <v>106</v>
      </c>
      <c r="C249" s="194">
        <v>11400</v>
      </c>
      <c r="D249" s="194">
        <v>12100</v>
      </c>
      <c r="E249" s="194">
        <v>11900</v>
      </c>
      <c r="F249" s="194">
        <v>11800</v>
      </c>
      <c r="G249" s="194">
        <v>11200</v>
      </c>
      <c r="H249" s="194">
        <v>12500</v>
      </c>
      <c r="I249" s="267">
        <v>11800</v>
      </c>
      <c r="J249" s="254">
        <v>11900</v>
      </c>
      <c r="K249" s="255">
        <v>11900</v>
      </c>
      <c r="L249" s="255">
        <v>11500</v>
      </c>
      <c r="M249" s="255">
        <v>12300</v>
      </c>
    </row>
    <row r="250" spans="1:15" ht="13">
      <c r="B250" s="191" t="s">
        <v>111</v>
      </c>
      <c r="C250" s="194">
        <v>29100</v>
      </c>
      <c r="D250" s="194">
        <v>29500</v>
      </c>
      <c r="E250" s="194">
        <v>29100</v>
      </c>
      <c r="F250" s="194">
        <v>29900</v>
      </c>
      <c r="G250" s="194">
        <v>30700</v>
      </c>
      <c r="H250" s="194">
        <v>29200</v>
      </c>
      <c r="I250" s="267">
        <v>29100</v>
      </c>
      <c r="J250" s="254">
        <v>35300</v>
      </c>
      <c r="K250" s="255">
        <v>35900</v>
      </c>
      <c r="L250" s="255">
        <v>35600</v>
      </c>
      <c r="M250" s="255">
        <v>35500</v>
      </c>
    </row>
    <row r="251" spans="1:15" ht="13">
      <c r="B251" s="191" t="s">
        <v>112</v>
      </c>
      <c r="C251" s="194">
        <v>21100</v>
      </c>
      <c r="D251" s="194"/>
      <c r="E251" s="194"/>
      <c r="F251" s="194"/>
      <c r="G251" s="194">
        <v>22300</v>
      </c>
      <c r="H251" s="194"/>
      <c r="I251" s="256">
        <v>21500</v>
      </c>
      <c r="J251" s="254"/>
      <c r="K251" s="255"/>
      <c r="L251" s="255"/>
      <c r="M251" s="255"/>
    </row>
    <row r="252" spans="1:15" ht="13">
      <c r="B252" s="191" t="s">
        <v>113</v>
      </c>
      <c r="C252" s="194">
        <v>21000</v>
      </c>
      <c r="D252" s="194">
        <v>20900</v>
      </c>
      <c r="E252" s="194">
        <v>20700</v>
      </c>
      <c r="F252" s="194">
        <v>21100</v>
      </c>
      <c r="G252" s="194">
        <v>21500</v>
      </c>
      <c r="H252" s="194">
        <v>21000</v>
      </c>
      <c r="I252" s="267">
        <v>20600</v>
      </c>
      <c r="J252" s="254">
        <v>18100</v>
      </c>
      <c r="K252" s="255">
        <v>18500</v>
      </c>
      <c r="L252" s="255">
        <v>18200</v>
      </c>
      <c r="M252" s="255">
        <v>18300</v>
      </c>
    </row>
    <row r="253" spans="1:15" ht="13">
      <c r="B253" s="191" t="s">
        <v>94</v>
      </c>
      <c r="C253" s="194"/>
      <c r="D253" s="194"/>
      <c r="E253" s="194"/>
      <c r="F253" s="194"/>
      <c r="G253" s="257">
        <v>30700</v>
      </c>
      <c r="H253" s="194"/>
      <c r="I253" s="256">
        <v>29100</v>
      </c>
      <c r="J253" s="254"/>
      <c r="K253" s="255"/>
      <c r="L253" s="255"/>
      <c r="M253" s="255"/>
    </row>
    <row r="254" spans="1:15" ht="13">
      <c r="B254" s="191"/>
      <c r="C254" s="194"/>
      <c r="D254" s="194"/>
      <c r="E254" s="194"/>
      <c r="F254" s="194"/>
      <c r="G254" s="194"/>
      <c r="H254" s="194"/>
      <c r="I254" s="267"/>
      <c r="J254" s="254"/>
      <c r="K254" s="255"/>
      <c r="L254" s="255"/>
      <c r="M254" s="255"/>
    </row>
    <row r="255" spans="1:15" ht="13">
      <c r="B255" s="193" t="s">
        <v>124</v>
      </c>
      <c r="C255" s="194">
        <v>11500</v>
      </c>
      <c r="D255" s="194">
        <v>11000</v>
      </c>
      <c r="E255" s="194">
        <v>11100</v>
      </c>
      <c r="F255" s="194">
        <v>10900</v>
      </c>
      <c r="G255" s="194">
        <v>11200</v>
      </c>
      <c r="H255" s="194">
        <v>11300</v>
      </c>
      <c r="I255" s="267">
        <v>10700</v>
      </c>
      <c r="J255" s="254">
        <v>10800</v>
      </c>
      <c r="K255" s="255">
        <v>10900</v>
      </c>
      <c r="L255" s="255">
        <v>10300</v>
      </c>
      <c r="M255" s="255">
        <v>9800</v>
      </c>
    </row>
    <row r="256" spans="1:15" ht="13">
      <c r="B256" s="193" t="s">
        <v>125</v>
      </c>
      <c r="C256" s="194">
        <v>9900</v>
      </c>
      <c r="D256" s="194">
        <v>9000</v>
      </c>
      <c r="E256" s="194">
        <v>9000</v>
      </c>
      <c r="F256" s="194">
        <v>9200</v>
      </c>
      <c r="G256" s="194">
        <v>9200</v>
      </c>
      <c r="H256" s="194">
        <v>9300</v>
      </c>
      <c r="I256" s="267">
        <v>9000</v>
      </c>
      <c r="J256" s="254">
        <v>9600</v>
      </c>
      <c r="K256" s="255">
        <v>9600</v>
      </c>
      <c r="L256" s="255">
        <v>8800</v>
      </c>
      <c r="M256" s="255">
        <v>8300</v>
      </c>
    </row>
    <row r="257" spans="1:15" ht="13">
      <c r="B257" s="191" t="s">
        <v>114</v>
      </c>
      <c r="C257" s="194">
        <v>23400</v>
      </c>
      <c r="D257" s="194">
        <v>23400</v>
      </c>
      <c r="E257" s="194">
        <v>23400</v>
      </c>
      <c r="F257" s="194">
        <v>23400</v>
      </c>
      <c r="G257" s="194">
        <v>24000</v>
      </c>
      <c r="H257" s="194">
        <v>24500</v>
      </c>
      <c r="I257" s="267">
        <v>23400</v>
      </c>
      <c r="J257" s="254">
        <v>29100</v>
      </c>
      <c r="K257" s="255">
        <v>29100</v>
      </c>
      <c r="L257" s="255">
        <v>29100</v>
      </c>
      <c r="M257" s="255">
        <v>29100</v>
      </c>
    </row>
    <row r="258" spans="1:15" ht="13">
      <c r="B258" s="192" t="s">
        <v>115</v>
      </c>
      <c r="C258" s="194">
        <v>19100</v>
      </c>
      <c r="D258" s="194">
        <v>19100</v>
      </c>
      <c r="E258" s="194">
        <v>19100</v>
      </c>
      <c r="F258" s="194">
        <v>19100</v>
      </c>
      <c r="G258" s="194">
        <v>19100</v>
      </c>
      <c r="H258" s="194">
        <v>19100</v>
      </c>
      <c r="I258" s="267">
        <v>19100</v>
      </c>
      <c r="J258" s="254">
        <v>19800</v>
      </c>
      <c r="K258" s="255">
        <v>20600</v>
      </c>
      <c r="L258" s="255">
        <v>20100</v>
      </c>
      <c r="M258" s="255">
        <v>19800</v>
      </c>
    </row>
    <row r="259" spans="1:15" ht="13">
      <c r="B259" s="192"/>
      <c r="C259" s="194"/>
      <c r="D259" s="194"/>
      <c r="E259" s="194"/>
      <c r="F259" s="194"/>
      <c r="G259" s="194"/>
      <c r="H259" s="194"/>
      <c r="I259" s="267"/>
      <c r="J259" s="254"/>
      <c r="K259" s="255"/>
      <c r="L259" s="255"/>
      <c r="M259" s="255"/>
    </row>
    <row r="260" spans="1:15" ht="13">
      <c r="B260" s="192" t="s">
        <v>126</v>
      </c>
      <c r="C260" s="194">
        <v>17700</v>
      </c>
      <c r="D260" s="194">
        <v>18000</v>
      </c>
      <c r="E260" s="194">
        <v>17900</v>
      </c>
      <c r="F260" s="194">
        <v>19200</v>
      </c>
      <c r="G260" s="194">
        <v>17900</v>
      </c>
      <c r="H260" s="194">
        <v>18600</v>
      </c>
      <c r="I260" s="267">
        <v>17400</v>
      </c>
      <c r="J260" s="254">
        <v>15900</v>
      </c>
      <c r="K260" s="255">
        <v>17100</v>
      </c>
      <c r="L260" s="255">
        <v>17300</v>
      </c>
      <c r="M260" s="255">
        <v>17700</v>
      </c>
    </row>
    <row r="261" spans="1:15" ht="13">
      <c r="B261" s="192" t="s">
        <v>127</v>
      </c>
      <c r="C261" s="194">
        <v>17300</v>
      </c>
      <c r="D261" s="194">
        <v>16000</v>
      </c>
      <c r="E261" s="194">
        <v>15800</v>
      </c>
      <c r="F261" s="194">
        <v>16000</v>
      </c>
      <c r="G261" s="194">
        <v>16000</v>
      </c>
      <c r="H261" s="194">
        <v>16400</v>
      </c>
      <c r="I261" s="267">
        <v>15100</v>
      </c>
      <c r="J261" s="254">
        <v>15100</v>
      </c>
      <c r="K261" s="255">
        <v>15800</v>
      </c>
      <c r="L261" s="255">
        <v>15400</v>
      </c>
      <c r="M261" s="255">
        <v>15700</v>
      </c>
    </row>
    <row r="262" spans="1:15" ht="13">
      <c r="B262" s="192"/>
      <c r="C262" s="194"/>
      <c r="D262" s="194"/>
      <c r="E262" s="194"/>
      <c r="F262" s="194"/>
      <c r="G262" s="194"/>
      <c r="H262" s="194"/>
      <c r="I262" s="267"/>
      <c r="J262" s="254"/>
      <c r="K262" s="255"/>
      <c r="L262" s="255"/>
      <c r="M262" s="255"/>
    </row>
    <row r="264" spans="1:15" ht="14.5" customHeight="1">
      <c r="A264" s="188" t="s">
        <v>116</v>
      </c>
      <c r="B264" s="189"/>
      <c r="C264" s="189"/>
      <c r="D264" s="189"/>
      <c r="E264" s="189"/>
      <c r="F264" s="189"/>
      <c r="G264" s="189"/>
      <c r="H264" s="189"/>
      <c r="I264" s="189"/>
      <c r="J264" s="189"/>
      <c r="K264" s="189"/>
      <c r="L264" s="189"/>
      <c r="M264" s="189"/>
      <c r="N264" s="189"/>
      <c r="O264" s="189"/>
    </row>
    <row r="265" spans="1:15" ht="14.5" customHeight="1">
      <c r="A265" s="189"/>
      <c r="B265" s="189"/>
      <c r="C265" s="207" t="s">
        <v>103</v>
      </c>
      <c r="D265" s="207" t="s">
        <v>104</v>
      </c>
      <c r="E265" s="207" t="s">
        <v>105</v>
      </c>
      <c r="F265" s="207" t="s">
        <v>107</v>
      </c>
      <c r="G265" s="207" t="s">
        <v>108</v>
      </c>
      <c r="H265" s="207" t="s">
        <v>109</v>
      </c>
      <c r="I265" s="207" t="s">
        <v>110</v>
      </c>
      <c r="J265" s="190"/>
      <c r="K265" s="190"/>
      <c r="L265" s="190"/>
      <c r="M265" s="190"/>
      <c r="N265" s="189"/>
      <c r="O265" s="189"/>
    </row>
    <row r="266" spans="1:15" ht="14.5" customHeight="1">
      <c r="A266" s="189"/>
      <c r="B266" s="191" t="s">
        <v>102</v>
      </c>
      <c r="C266" s="194">
        <v>15300</v>
      </c>
      <c r="D266" s="194">
        <v>16100</v>
      </c>
      <c r="E266" s="194">
        <v>16100</v>
      </c>
      <c r="F266" s="194">
        <v>15800</v>
      </c>
      <c r="G266" s="194">
        <v>16200</v>
      </c>
      <c r="H266" s="194">
        <v>16200</v>
      </c>
      <c r="I266" s="194">
        <v>16700</v>
      </c>
      <c r="J266" s="189"/>
      <c r="K266" s="189"/>
      <c r="L266" s="189"/>
      <c r="M266" s="189"/>
      <c r="N266" s="189"/>
      <c r="O266" s="189"/>
    </row>
    <row r="267" spans="1:15" ht="13">
      <c r="B267" s="191" t="s">
        <v>106</v>
      </c>
      <c r="C267" s="194">
        <v>11500</v>
      </c>
      <c r="D267" s="194">
        <v>12200</v>
      </c>
      <c r="E267" s="194">
        <v>12000</v>
      </c>
      <c r="F267" s="194">
        <v>11900</v>
      </c>
      <c r="G267" s="194">
        <v>11300</v>
      </c>
      <c r="H267" s="194">
        <v>12200</v>
      </c>
      <c r="I267" s="194">
        <v>11900</v>
      </c>
    </row>
    <row r="268" spans="1:15" ht="13">
      <c r="B268" s="191" t="s">
        <v>111</v>
      </c>
      <c r="C268" s="194">
        <v>28100</v>
      </c>
      <c r="D268" s="194">
        <v>28600</v>
      </c>
      <c r="E268" s="194">
        <v>28200</v>
      </c>
      <c r="F268" s="194">
        <v>29000</v>
      </c>
      <c r="G268" s="194">
        <v>29800</v>
      </c>
      <c r="H268" s="194">
        <v>28300</v>
      </c>
      <c r="I268" s="194">
        <v>28200</v>
      </c>
    </row>
    <row r="269" spans="1:15" ht="13">
      <c r="B269" s="191" t="s">
        <v>112</v>
      </c>
      <c r="C269" s="194">
        <v>20300</v>
      </c>
      <c r="D269" s="194">
        <v>20500</v>
      </c>
      <c r="E269" s="194">
        <v>20500</v>
      </c>
      <c r="F269" s="194">
        <v>21000</v>
      </c>
      <c r="G269" s="194">
        <v>21700</v>
      </c>
      <c r="H269" s="194">
        <v>20700</v>
      </c>
      <c r="I269" s="194">
        <v>20500</v>
      </c>
    </row>
    <row r="270" spans="1:15" ht="13">
      <c r="B270" s="191" t="s">
        <v>113</v>
      </c>
      <c r="C270" s="194">
        <v>20200</v>
      </c>
      <c r="D270" s="194">
        <v>20200</v>
      </c>
      <c r="E270" s="194">
        <v>20000</v>
      </c>
      <c r="F270" s="194">
        <v>20400</v>
      </c>
      <c r="G270" s="194">
        <v>20800</v>
      </c>
      <c r="H270" s="194">
        <v>20300</v>
      </c>
      <c r="I270" s="194">
        <v>19900</v>
      </c>
    </row>
    <row r="271" spans="1:15" ht="13">
      <c r="B271" s="191" t="s">
        <v>94</v>
      </c>
      <c r="C271" s="194"/>
      <c r="D271" s="194"/>
      <c r="E271" s="194"/>
      <c r="F271" s="194"/>
      <c r="G271" s="194">
        <v>29800</v>
      </c>
      <c r="H271" s="194"/>
      <c r="I271" s="194"/>
    </row>
    <row r="272" spans="1:15" ht="13">
      <c r="B272" s="191"/>
      <c r="C272" s="194"/>
      <c r="D272" s="194"/>
      <c r="E272" s="194"/>
      <c r="F272" s="194"/>
      <c r="G272" s="194"/>
      <c r="H272" s="194"/>
      <c r="I272" s="194"/>
    </row>
    <row r="273" spans="2:9" ht="13">
      <c r="B273" s="193" t="s">
        <v>124</v>
      </c>
      <c r="C273" s="194">
        <v>11100</v>
      </c>
      <c r="D273" s="194">
        <v>10500</v>
      </c>
      <c r="E273" s="194">
        <v>10400</v>
      </c>
      <c r="F273" s="194">
        <v>10500</v>
      </c>
      <c r="G273" s="194">
        <v>10500</v>
      </c>
      <c r="H273" s="194">
        <v>10500</v>
      </c>
      <c r="I273" s="194">
        <v>10300</v>
      </c>
    </row>
    <row r="274" spans="2:9" ht="13">
      <c r="B274" s="193" t="s">
        <v>125</v>
      </c>
      <c r="C274" s="194">
        <v>9900</v>
      </c>
      <c r="D274" s="194">
        <v>8700</v>
      </c>
      <c r="E274" s="194">
        <v>8800</v>
      </c>
      <c r="F274" s="194">
        <v>9100</v>
      </c>
      <c r="G274" s="194">
        <v>9000</v>
      </c>
      <c r="H274" s="194">
        <v>9000</v>
      </c>
      <c r="I274" s="194">
        <v>8800</v>
      </c>
    </row>
    <row r="275" spans="2:9" ht="13">
      <c r="B275" s="191" t="s">
        <v>114</v>
      </c>
      <c r="C275" s="194">
        <v>23500</v>
      </c>
      <c r="D275" s="194">
        <v>23500</v>
      </c>
      <c r="E275" s="194">
        <v>23500</v>
      </c>
      <c r="F275" s="194">
        <v>23500</v>
      </c>
      <c r="G275" s="194">
        <v>23500</v>
      </c>
      <c r="H275" s="194">
        <v>23500</v>
      </c>
      <c r="I275" s="194">
        <v>23500</v>
      </c>
    </row>
    <row r="276" spans="2:9" ht="13">
      <c r="B276" s="192" t="s">
        <v>115</v>
      </c>
      <c r="C276" s="194">
        <v>19100</v>
      </c>
      <c r="D276" s="194">
        <v>19100</v>
      </c>
      <c r="E276" s="194">
        <v>19100</v>
      </c>
      <c r="F276" s="194">
        <v>19100</v>
      </c>
      <c r="G276" s="194">
        <v>19100</v>
      </c>
      <c r="H276" s="194">
        <v>19100</v>
      </c>
      <c r="I276" s="194">
        <v>19100</v>
      </c>
    </row>
    <row r="277" spans="2:9" ht="13">
      <c r="B277" s="192"/>
      <c r="C277" s="194"/>
      <c r="D277" s="194"/>
      <c r="E277" s="194"/>
      <c r="F277" s="194"/>
      <c r="G277" s="194"/>
      <c r="H277" s="194"/>
      <c r="I277" s="194"/>
    </row>
    <row r="278" spans="2:9" ht="13">
      <c r="B278" s="192" t="s">
        <v>126</v>
      </c>
      <c r="C278" s="194">
        <v>17800</v>
      </c>
      <c r="D278" s="194">
        <v>18100</v>
      </c>
      <c r="E278" s="194">
        <v>18000</v>
      </c>
      <c r="F278" s="194">
        <v>19000</v>
      </c>
      <c r="G278" s="194">
        <v>17800</v>
      </c>
      <c r="H278" s="194">
        <v>18000</v>
      </c>
      <c r="I278" s="194">
        <v>17500</v>
      </c>
    </row>
    <row r="279" spans="2:9" ht="13">
      <c r="B279" s="192" t="s">
        <v>127</v>
      </c>
      <c r="C279" s="194">
        <v>17400</v>
      </c>
      <c r="D279" s="194">
        <v>16100</v>
      </c>
      <c r="E279" s="194">
        <v>15900</v>
      </c>
      <c r="F279" s="194">
        <v>16100</v>
      </c>
      <c r="G279" s="194">
        <v>16100</v>
      </c>
      <c r="H279" s="194">
        <v>15800</v>
      </c>
      <c r="I279" s="194">
        <v>15200</v>
      </c>
    </row>
    <row r="280" spans="2:9" ht="13">
      <c r="B280" s="192"/>
      <c r="C280" s="194"/>
      <c r="D280" s="194"/>
      <c r="E280" s="194"/>
      <c r="F280" s="194"/>
      <c r="G280" s="194"/>
      <c r="H280" s="194"/>
      <c r="I280" s="194"/>
    </row>
  </sheetData>
  <phoneticPr fontId="26"/>
  <dataValidations count="2">
    <dataValidation type="list" allowBlank="1" showInputMessage="1" showErrorMessage="1" sqref="J36" xr:uid="{00000000-0002-0000-0400-000000000000}">
      <formula1>$C$265:$I$265</formula1>
    </dataValidation>
    <dataValidation type="list" allowBlank="1" showInputMessage="1" showErrorMessage="1" sqref="K36:U36" xr:uid="{00000000-0002-0000-0400-000001000000}">
      <formula1>$C$247:$N$247</formula1>
    </dataValidation>
  </dataValidations>
  <pageMargins left="0.74803149606299213" right="0.74803149606299213" top="0.98425196850393704" bottom="0.98425196850393704" header="0.51181102362204722" footer="0.51181102362204722"/>
  <pageSetup paperSize="9" scale="90" orientation="landscape" r:id="rId1"/>
  <headerFooter alignWithMargins="0"/>
  <rowBreaks count="1" manualBreakCount="1">
    <brk id="38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5</vt:i4>
      </vt:variant>
      <vt:variant>
        <vt:lpstr>名前付き一覧</vt:lpstr>
      </vt:variant>
      <vt:variant>
        <vt:i4>4</vt:i4>
      </vt:variant>
    </vt:vector>
  </HeadingPairs>
  <TitlesOfParts>
    <vt:vector size="9" baseType="lpstr">
      <vt:lpstr>見積表紙</vt:lpstr>
      <vt:lpstr>内訳書</vt:lpstr>
      <vt:lpstr>直接人件費</vt:lpstr>
      <vt:lpstr>直接経費内訳</vt:lpstr>
      <vt:lpstr>単価</vt:lpstr>
      <vt:lpstr>見積表紙!Print_Area</vt:lpstr>
      <vt:lpstr>直接経費内訳!Print_Area</vt:lpstr>
      <vt:lpstr>直接人件費!Print_Area</vt:lpstr>
      <vt:lpstr>内訳書!Print_Area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YEC</dc:creator>
  <cp:lastModifiedBy>乾　健志</cp:lastModifiedBy>
  <cp:lastPrinted>2025-06-26T00:57:11Z</cp:lastPrinted>
  <dcterms:created xsi:type="dcterms:W3CDTF">1996-12-16T13:35:12Z</dcterms:created>
  <dcterms:modified xsi:type="dcterms:W3CDTF">2025-07-06T06:02:10Z</dcterms:modified>
</cp:coreProperties>
</file>